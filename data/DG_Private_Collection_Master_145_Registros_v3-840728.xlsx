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7e6ddebac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 Mestre" sheetId="1" r:id="Refce963d1d70497c"/>
    <x:sheet xmlns:r="http://schemas.openxmlformats.org/officeDocument/2006/relationships" name="Esmeraldas" sheetId="2" r:id="Rd36c1fd35cca4632"/>
    <x:sheet xmlns:r="http://schemas.openxmlformats.org/officeDocument/2006/relationships" name="Turmalinas Rosa" sheetId="3" r:id="R30c2f456371745e6"/>
    <x:sheet xmlns:r="http://schemas.openxmlformats.org/officeDocument/2006/relationships" name="Turmalinas Paraiba" sheetId="4" r:id="R5026f1dfd9e64068"/>
    <x:sheet xmlns:r="http://schemas.openxmlformats.org/officeDocument/2006/relationships" name="Corindons" sheetId="5" r:id="Rbfb8ae03f8fb4af9"/>
    <x:sheet xmlns:r="http://schemas.openxmlformats.org/officeDocument/2006/relationships" name="Outras Gemas" sheetId="6" r:id="R8f8c9273229d443f"/>
    <x:sheet xmlns:r="http://schemas.openxmlformats.org/officeDocument/2006/relationships" name="Lotes" sheetId="7" r:id="Rac63b225b4fd4303"/>
    <x:sheet xmlns:r="http://schemas.openxmlformats.org/officeDocument/2006/relationships" name="Certificados" sheetId="8" r:id="R008269da747a4da0"/>
    <x:sheet xmlns:r="http://schemas.openxmlformats.org/officeDocument/2006/relationships" name="Pendencias" sheetId="9" r:id="R7f8114c10dae4bdc"/>
    <x:sheet xmlns:r="http://schemas.openxmlformats.org/officeDocument/2006/relationships" name="Resumo Executivo" sheetId="10" r:id="R578dd9442aa74ed2"/>
    <x:sheet xmlns:r="http://schemas.openxmlformats.org/officeDocument/2006/relationships" name="Controle de Versao" sheetId="11" r:id="R9ff74caf519d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"/>
    <x:numFmt numFmtId="202" formatCode="0"/>
    <x:numFmt numFmtId="203" formatCode="R$ #,##0.00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i/>
      <x:sz val="11"/>
      <x:color rgb="FF173F35"/>
      <x:name val="Carlito"/>
    </x:font>
    <x:font>
      <x:b/>
      <x:sz val="11"/>
      <x:color rgb="FF173F3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0F2F28"/>
      </x:patternFill>
    </x:fill>
    <x:fill>
      <x:patternFill patternType="solid">
        <x:fgColor rgb="FFDCEBE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"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  <x:dxf>
      <x:font>
        <x:color rgb="FF8A5A00"/>
      </x:font>
      <x:fill>
        <x:patternFill>
          <x:bgColor rgb="FFFFF1CC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d0bd449404cae" /><Relationship Type="http://schemas.openxmlformats.org/officeDocument/2006/relationships/theme" Target="/xl/theme/theme1.xml" Id="Rbc29388be88c4923" /><Relationship Type="http://schemas.openxmlformats.org/officeDocument/2006/relationships/sharedStrings" Target="/xl/sharedStrings.xml" Id="R26deb1a7936c4067" /><Relationship Type="http://schemas.openxmlformats.org/officeDocument/2006/relationships/worksheet" Target="/xl/worksheets/sheet1.xml" Id="Refce963d1d70497c" /><Relationship Type="http://schemas.openxmlformats.org/officeDocument/2006/relationships/worksheet" Target="/xl/worksheets/sheet2.xml" Id="Rd36c1fd35cca4632" /><Relationship Type="http://schemas.openxmlformats.org/officeDocument/2006/relationships/worksheet" Target="/xl/worksheets/sheet3.xml" Id="R30c2f456371745e6" /><Relationship Type="http://schemas.openxmlformats.org/officeDocument/2006/relationships/worksheet" Target="/xl/worksheets/sheet4.xml" Id="R5026f1dfd9e64068" /><Relationship Type="http://schemas.openxmlformats.org/officeDocument/2006/relationships/worksheet" Target="/xl/worksheets/sheet5.xml" Id="Rbfb8ae03f8fb4af9" /><Relationship Type="http://schemas.openxmlformats.org/officeDocument/2006/relationships/worksheet" Target="/xl/worksheets/sheet6.xml" Id="R8f8c9273229d443f" /><Relationship Type="http://schemas.openxmlformats.org/officeDocument/2006/relationships/worksheet" Target="/xl/worksheets/sheet7.xml" Id="Rac63b225b4fd4303" /><Relationship Type="http://schemas.openxmlformats.org/officeDocument/2006/relationships/worksheet" Target="/xl/worksheets/sheet8.xml" Id="R008269da747a4da0" /><Relationship Type="http://schemas.openxmlformats.org/officeDocument/2006/relationships/worksheet" Target="/xl/worksheets/sheet9.xml" Id="R7f8114c10dae4bdc" /><Relationship Type="http://schemas.openxmlformats.org/officeDocument/2006/relationships/worksheet" Target="/xl/worksheets/sheet10.xml" Id="R578dd9442aa74ed2" /><Relationship Type="http://schemas.openxmlformats.org/officeDocument/2006/relationships/worksheet" Target="/xl/worksheets/sheet11.xml" Id="R9ff74caf519d42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8102d0cde24fd6" /><Relationship Type="http://schemas.openxmlformats.org/officeDocument/2006/relationships/chart" Target="/xl/drawings/charts/chart2.xml" Id="R5cab1d833d284a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Registros por grupo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Registros</c:v>
          </c:tx>
          <c:cat>
            <c:strRef>
              <c:f>'Resumo Executivo'!$A$15:$A$25</c:f>
              <c:strCache>
                <c:ptCount val="0"/>
              </c:strCache>
            </c:strRef>
          </c:cat>
          <c:val>
            <c:numRef>
              <c:f>'Resumo Executivo'!$B$15:$B$25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Peso catalogado por grupo (ct)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Registros</c:v>
          </c:tx>
          <c:cat>
            <c:strRef>
              <c:f>'Resumo Executivo'!$A$15:$A$25</c:f>
              <c:strCache>
                <c:ptCount val="0"/>
              </c:strCache>
            </c:strRef>
          </c:cat>
          <c:val>
            <c:numRef>
              <c:f>'Resumo Executivo'!$B$15:$B$25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Peso total (ct)</c:v>
          </c:tx>
          <c:cat>
            <c:strRef>
              <c:f>'Resumo Executivo'!$A$15:$A$25</c:f>
              <c:strCache>
                <c:ptCount val="0"/>
              </c:strCache>
            </c:strRef>
          </c:cat>
          <c:val>
            <c:numRef>
              <c:f>'Resumo Executivo'!$C$15:$C$25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8102d0cde24fd6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ab1d833d284a1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arioMestre145" displayName="InventarioMestre145" ref="A1:AT146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ables/table2.xml><?xml version="1.0" encoding="utf-8"?>
<x:table xmlns:x="http://schemas.openxmlformats.org/spreadsheetml/2006/main" id="2" name="TabelaEsmeraldas" displayName="TabelaEsmeraldas" ref="A1:AT83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ables/table3.xml><?xml version="1.0" encoding="utf-8"?>
<x:table xmlns:x="http://schemas.openxmlformats.org/spreadsheetml/2006/main" id="3" name="TabelaTurmalinasRosa" displayName="TabelaTurmalinasRosa" ref="A1:AT24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ables/table4.xml><?xml version="1.0" encoding="utf-8"?>
<x:table xmlns:x="http://schemas.openxmlformats.org/spreadsheetml/2006/main" id="4" name="TabelaParaibas" displayName="TabelaParaibas" ref="A1:AT12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ables/table5.xml><?xml version="1.0" encoding="utf-8"?>
<x:table xmlns:x="http://schemas.openxmlformats.org/spreadsheetml/2006/main" id="5" name="TabelaCorindons" displayName="TabelaCorindons" ref="A1:AT13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ables/table6.xml><?xml version="1.0" encoding="utf-8"?>
<x:table xmlns:x="http://schemas.openxmlformats.org/spreadsheetml/2006/main" id="6" name="TabelaOutrasGemas" displayName="TabelaOutrasGemas" ref="A1:AT18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ables/table7.xml><?xml version="1.0" encoding="utf-8"?>
<x:table xmlns:x="http://schemas.openxmlformats.org/spreadsheetml/2006/main" id="7" name="TabelaLotes" displayName="TabelaLotes" ref="A1:AT13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ables/table8.xml><?xml version="1.0" encoding="utf-8"?>
<x:table xmlns:x="http://schemas.openxmlformats.org/spreadsheetml/2006/main" id="8" name="TabelaCertificados" displayName="TabelaCertificados" ref="A1:AT3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ables/table9.xml><?xml version="1.0" encoding="utf-8"?>
<x:table xmlns:x="http://schemas.openxmlformats.org/spreadsheetml/2006/main" id="9" name="TabelaPendencias" displayName="TabelaPendencias" ref="A1:AT130" headerRowCount="1">
  <x:tableColumns count="46">
    <x:tableColumn id="1" name="Codigo"/>
    <x:tableColumn id="2" name="Codigo_Legado"/>
    <x:tableColumn id="3" name="Colecao"/>
    <x:tableColumn id="4" name="Grupo"/>
    <x:tableColumn id="5" name="Especie"/>
    <x:tableColumn id="6" name="Variedade"/>
    <x:tableColumn id="7" name="Tipo_Item"/>
    <x:tableColumn id="8" name="Quantidade"/>
    <x:tableColumn id="9" name="Formato_Lapidacao"/>
    <x:tableColumn id="10" name="Dimensoes_mm"/>
    <x:tableColumn id="11" name="Peso_ct"/>
    <x:tableColumn id="12" name="Peso_Confirmado"/>
    <x:tableColumn id="13" name="Metodo_Peso"/>
    <x:tableColumn id="14" name="Cor_Tonalidade"/>
    <x:tableColumn id="15" name="Transparencia"/>
    <x:tableColumn id="16" name="Origem_Informada"/>
    <x:tableColumn id="17" name="Tratamento_Conhecido"/>
    <x:tableColumn id="18" name="Certificado"/>
    <x:tableColumn id="19" name="Laboratorio"/>
    <x:tableColumn id="20" name="Numero_Certificado"/>
    <x:tableColumn id="21" name="Valor_Pago_Total_BRL"/>
    <x:tableColumn id="22" name="Valor_Atacado_Min_BRL"/>
    <x:tableColumn id="23" name="Valor_Atacado_Max_BRL"/>
    <x:tableColumn id="24" name="Valor_Varejo_Min_BRL"/>
    <x:tableColumn id="25" name="Valor_Varejo_Max_BRL"/>
    <x:tableColumn id="26" name="Valor_Joia_Min_BRL"/>
    <x:tableColumn id="27" name="Valor_Joia_Max_BRL"/>
    <x:tableColumn id="28" name="Status_Valor"/>
    <x:tableColumn id="29" name="Nota_Geral_10"/>
    <x:tableColumn id="30" name="Classe_DG"/>
    <x:tableColumn id="31" name="Prioridade_Certificacao"/>
    <x:tableColumn id="32" name="Melhor_Aplicacao"/>
    <x:tableColumn id="33" name="Destino_Sugerido"/>
    <x:tableColumn id="34" name="Status"/>
    <x:tableColumn id="35" name="Caixa"/>
    <x:tableColumn id="36" name="Envelope"/>
    <x:tableColumn id="37" name="Posicao"/>
    <x:tableColumn id="38" name="Localizacao_Fisica"/>
    <x:tableColumn id="39" name="Localizacao_Status"/>
    <x:tableColumn id="40" name="Fotos_Referencia"/>
    <x:tableColumn id="41" name="Data_Registro_Original"/>
    <x:tableColumn id="42" name="Data_Ultima_Revisao"/>
    <x:tableColumn id="43" name="Confianca_Dados"/>
    <x:tableColumn id="44" name="Fonte_Registro"/>
    <x:tableColumn id="45" name="Pendencias"/>
    <x:tableColumn id="46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b6160a388745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e82b41211c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ac24ed6e09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0660ec75be43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f1f0e489cc641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edd48b8eed44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ee07b962ab14e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d69c1c7954c41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09ec732244348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e37e652e8db04ee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DG-EM-001</x:v>
      </x:c>
      <x:c r="B2" s="12" t="str"/>
      <x:c r="C2" s="12" t="str">
        <x:v>Emerald Collection</x:v>
      </x:c>
      <x:c r="D2" s="12" t="str">
        <x:v>Esmeraldas</x:v>
      </x:c>
      <x:c r="E2" s="12" t="str">
        <x:v>Berilo</x:v>
      </x:c>
      <x:c r="F2" s="12" t="str">
        <x:v>Esmeralda</x:v>
      </x:c>
      <x:c r="G2" s="12" t="str">
        <x:v>Gema individual</x:v>
      </x:c>
      <x:c r="H2" s="18" t="n">
        <x:v>1</x:v>
      </x:c>
      <x:c r="I2" s="12" t="str">
        <x:v>Redonda / Round Mixed</x:v>
      </x:c>
      <x:c r="J2" s="12" t="str">
        <x:v>9 x 9 x 3</x:v>
      </x:c>
      <x:c r="K2" s="14" t="n">
        <x:v>2.915</x:v>
      </x:c>
      <x:c r="L2" s="12" t="str">
        <x:v>Sim</x:v>
      </x:c>
      <x:c r="M2" s="12" t="str">
        <x:v>Balança / informado</x:v>
      </x:c>
      <x:c r="N2" s="12" t="str">
        <x:v>Verde médio levemente azulado</x:v>
      </x:c>
      <x:c r="O2" s="12" t="str">
        <x:v>Semi-transparente a translúcida</x:v>
      </x:c>
      <x:c r="P2" s="12" t="str"/>
      <x:c r="Q2" s="12" t="str">
        <x:v>Não avaliado / não informado</x:v>
      </x:c>
      <x:c r="R2" s="12" t="str">
        <x:v>Não</x:v>
      </x:c>
      <x:c r="S2" s="12" t="str"/>
      <x:c r="T2" s="12" t="str"/>
      <x:c r="U2" s="20"/>
      <x:c r="V2" s="20"/>
      <x:c r="W2" s="20"/>
      <x:c r="X2" s="20"/>
      <x:c r="Y2" s="20"/>
      <x:c r="Z2" s="20"/>
      <x:c r="AA2" s="20"/>
      <x:c r="AB2" s="12" t="str">
        <x:v>Pendente de precificação individual</x:v>
      </x:c>
      <x:c r="AC2" s="16" t="n">
        <x:v>8.3</x:v>
      </x:c>
      <x:c r="AD2" s="12" t="str">
        <x:v>A</x:v>
      </x:c>
      <x:c r="AE2" s="12" t="str">
        <x:v>A definir</x:v>
      </x:c>
      <x:c r="AF2" s="12" t="str">
        <x:v>Anel solitário / pingente halo</x:v>
      </x:c>
      <x:c r="AG2" s="12" t="str">
        <x:v>Anel solitário / pingente halo</x:v>
      </x:c>
      <x:c r="AH2" s="12" t="str">
        <x:v>Coleção</x:v>
      </x:c>
      <x:c r="AI2" s="12" t="str"/>
      <x:c r="AJ2" s="12" t="str"/>
      <x:c r="AK2" s="12" t="str"/>
      <x:c r="AL2" s="12" t="str"/>
      <x:c r="AM2" s="12" t="str">
        <x:v>Não informado</x:v>
      </x:c>
      <x:c r="AN2" s="12" t="str"/>
      <x:c r="AO2" s="12" t="str">
        <x:v>2026-07-01</x:v>
      </x:c>
      <x:c r="AP2" s="12" t="str">
        <x:v>2026-07-19</x:v>
      </x:c>
      <x:c r="AQ2" s="12" t="str">
        <x:v>Alta</x:v>
      </x:c>
      <x:c r="AR2" s="12" t="str">
        <x:v>Inventário mestre completo atualizado em 2026-07-01</x:v>
      </x:c>
      <x:c r="AS2" s="12" t="str">
        <x:v>Precificação individual pendente</x:v>
      </x:c>
      <x:c r="AT2" s="12" t="str">
        <x:v>Avaliação visual; tratamentos não avaliados; confirmar naturalidade/tratamento em laboratório.</x:v>
      </x:c>
    </x:row>
    <x:row r="3">
      <x:c r="A3" s="12" t="str">
        <x:v>DG-EM-002</x:v>
      </x:c>
      <x:c r="B3" s="12" t="str"/>
      <x:c r="C3" s="12" t="str">
        <x:v>Emerald Collection</x:v>
      </x:c>
      <x:c r="D3" s="12" t="str">
        <x:v>Esmeraldas</x:v>
      </x:c>
      <x:c r="E3" s="12" t="str">
        <x:v>Berilo</x:v>
      </x:c>
      <x:c r="F3" s="12" t="str">
        <x:v>Esmeralda</x:v>
      </x:c>
      <x:c r="G3" s="12" t="str">
        <x:v>Gema individual</x:v>
      </x:c>
      <x:c r="H3" s="18" t="n">
        <x:v>1</x:v>
      </x:c>
      <x:c r="I3" s="12" t="str">
        <x:v>Octogonal / Emerald Cut</x:v>
      </x:c>
      <x:c r="J3" s="12" t="str">
        <x:v>16 x 14 x 6</x:v>
      </x:c>
      <x:c r="K3" s="14" t="n">
        <x:v>13.2</x:v>
      </x:c>
      <x:c r="L3" s="12" t="str">
        <x:v>Sim</x:v>
      </x:c>
      <x:c r="M3" s="12" t="str">
        <x:v>Balança / informado</x:v>
      </x:c>
      <x:c r="N3" s="12" t="str">
        <x:v>Verde intenso</x:v>
      </x:c>
      <x:c r="O3" s="12" t="str">
        <x:v>Semi-transparente a translúcida</x:v>
      </x:c>
      <x:c r="P3" s="12" t="str"/>
      <x:c r="Q3" s="12" t="str">
        <x:v>Não avaliado / não informado</x:v>
      </x:c>
      <x:c r="R3" s="12" t="str">
        <x:v>Não</x:v>
      </x:c>
      <x:c r="S3" s="12" t="str"/>
      <x:c r="T3" s="12" t="str"/>
      <x:c r="U3" s="20"/>
      <x:c r="V3" s="20"/>
      <x:c r="W3" s="20"/>
      <x:c r="X3" s="20"/>
      <x:c r="Y3" s="20"/>
      <x:c r="Z3" s="20"/>
      <x:c r="AA3" s="20"/>
      <x:c r="AB3" s="12" t="str">
        <x:v>Pendente de precificação individual</x:v>
      </x:c>
      <x:c r="AC3" s="16" t="n">
        <x:v>8.9</x:v>
      </x:c>
      <x:c r="AD3" s="12" t="str">
        <x:v>A+ Premium</x:v>
      </x:c>
      <x:c r="AE3" s="12" t="str">
        <x:v>A definir</x:v>
      </x:c>
      <x:c r="AF3" s="12" t="str">
        <x:v>Anel de destaque / pingente central</x:v>
      </x:c>
      <x:c r="AG3" s="12" t="str">
        <x:v>Anel de destaque / pingente central</x:v>
      </x:c>
      <x:c r="AH3" s="12" t="str">
        <x:v>Coleção</x:v>
      </x:c>
      <x:c r="AI3" s="12" t="str"/>
      <x:c r="AJ3" s="12" t="str"/>
      <x:c r="AK3" s="12" t="str"/>
      <x:c r="AL3" s="12" t="str"/>
      <x:c r="AM3" s="12" t="str">
        <x:v>Não informado</x:v>
      </x:c>
      <x:c r="AN3" s="12" t="str"/>
      <x:c r="AO3" s="12" t="str">
        <x:v>2026-07-01</x:v>
      </x:c>
      <x:c r="AP3" s="12" t="str">
        <x:v>2026-07-19</x:v>
      </x:c>
      <x:c r="AQ3" s="12" t="str">
        <x:v>Alta</x:v>
      </x:c>
      <x:c r="AR3" s="12" t="str">
        <x:v>Inventário mestre completo atualizado em 2026-07-01</x:v>
      </x:c>
      <x:c r="AS3" s="12" t="str">
        <x:v>Precificação individual pendente</x:v>
      </x:c>
      <x:c r="AT3" s="12" t="str">
        <x:v>Avaliação visual; tratamentos não avaliados; confirmar naturalidade/tratamento em laboratório.</x:v>
      </x:c>
    </x:row>
    <x:row r="4">
      <x:c r="A4" s="12" t="str">
        <x:v>DG-EM-003</x:v>
      </x:c>
      <x:c r="B4" s="12" t="str"/>
      <x:c r="C4" s="12" t="str">
        <x:v>Emerald Collection</x:v>
      </x:c>
      <x:c r="D4" s="12" t="str">
        <x:v>Esmeraldas</x:v>
      </x:c>
      <x:c r="E4" s="12" t="str">
        <x:v>Berilo</x:v>
      </x:c>
      <x:c r="F4" s="12" t="str">
        <x:v>Esmeralda</x:v>
      </x:c>
      <x:c r="G4" s="12" t="str">
        <x:v>Gema individual</x:v>
      </x:c>
      <x:c r="H4" s="18" t="n">
        <x:v>1</x:v>
      </x:c>
      <x:c r="I4" s="12" t="str">
        <x:v>Oval Mixed</x:v>
      </x:c>
      <x:c r="J4" s="12" t="str">
        <x:v>19 x 14 x 5</x:v>
      </x:c>
      <x:c r="K4" s="14" t="n">
        <x:v>12.07</x:v>
      </x:c>
      <x:c r="L4" s="12" t="str">
        <x:v>Sim</x:v>
      </x:c>
      <x:c r="M4" s="12" t="str">
        <x:v>Balança / informado</x:v>
      </x:c>
      <x:c r="N4" s="12" t="str">
        <x:v>Verde escuro saturado</x:v>
      </x:c>
      <x:c r="O4" s="12" t="str">
        <x:v>Semi-transparente a translúcida</x:v>
      </x:c>
      <x:c r="P4" s="12" t="str"/>
      <x:c r="Q4" s="12" t="str">
        <x:v>Não avaliado / não informado</x:v>
      </x:c>
      <x:c r="R4" s="12" t="str">
        <x:v>Não</x:v>
      </x:c>
      <x:c r="S4" s="12" t="str"/>
      <x:c r="T4" s="12" t="str"/>
      <x:c r="U4" s="20"/>
      <x:c r="V4" s="20"/>
      <x:c r="W4" s="20"/>
      <x:c r="X4" s="20"/>
      <x:c r="Y4" s="20"/>
      <x:c r="Z4" s="20"/>
      <x:c r="AA4" s="20"/>
      <x:c r="AB4" s="12" t="str">
        <x:v>Pendente de precificação individual</x:v>
      </x:c>
      <x:c r="AC4" s="16" t="n">
        <x:v>8.8</x:v>
      </x:c>
      <x:c r="AD4" s="12" t="str">
        <x:v>A+ Premium</x:v>
      </x:c>
      <x:c r="AE4" s="12" t="str">
        <x:v>A definir</x:v>
      </x:c>
      <x:c r="AF4" s="12" t="str">
        <x:v>Pingente central / anel robusto</x:v>
      </x:c>
      <x:c r="AG4" s="12" t="str">
        <x:v>Pingente central / anel robusto</x:v>
      </x:c>
      <x:c r="AH4" s="12" t="str">
        <x:v>Coleção</x:v>
      </x:c>
      <x:c r="AI4" s="12" t="str"/>
      <x:c r="AJ4" s="12" t="str"/>
      <x:c r="AK4" s="12" t="str"/>
      <x:c r="AL4" s="12" t="str"/>
      <x:c r="AM4" s="12" t="str">
        <x:v>Não informado</x:v>
      </x:c>
      <x:c r="AN4" s="12" t="str"/>
      <x:c r="AO4" s="12" t="str">
        <x:v>2026-07-01</x:v>
      </x:c>
      <x:c r="AP4" s="12" t="str">
        <x:v>2026-07-19</x:v>
      </x:c>
      <x:c r="AQ4" s="12" t="str">
        <x:v>Alta</x:v>
      </x:c>
      <x:c r="AR4" s="12" t="str">
        <x:v>Inventário mestre completo atualizado em 2026-07-01</x:v>
      </x:c>
      <x:c r="AS4" s="12" t="str">
        <x:v>Precificação individual pendente</x:v>
      </x:c>
      <x:c r="AT4" s="12" t="str">
        <x:v>Avaliação visual; tratamentos não avaliados; confirmar naturalidade/tratamento em laboratório.</x:v>
      </x:c>
    </x:row>
    <x:row r="5">
      <x:c r="A5" s="12" t="str">
        <x:v>DG-EM-004</x:v>
      </x:c>
      <x:c r="B5" s="12" t="str"/>
      <x:c r="C5" s="12" t="str">
        <x:v>Emerald Collection</x:v>
      </x:c>
      <x:c r="D5" s="12" t="str">
        <x:v>Esmeraldas</x:v>
      </x:c>
      <x:c r="E5" s="12" t="str">
        <x:v>Berilo</x:v>
      </x:c>
      <x:c r="F5" s="12" t="str">
        <x:v>Esmeralda</x:v>
      </x:c>
      <x:c r="G5" s="12" t="str">
        <x:v>Gema individual</x:v>
      </x:c>
      <x:c r="H5" s="18" t="n">
        <x:v>1</x:v>
      </x:c>
      <x:c r="I5" s="12" t="str">
        <x:v>Gota / Pear</x:v>
      </x:c>
      <x:c r="J5" s="12" t="str">
        <x:v>15 x 9 x 5</x:v>
      </x:c>
      <x:c r="K5" s="14" t="n">
        <x:v>5.89</x:v>
      </x:c>
      <x:c r="L5" s="12" t="str">
        <x:v>Sim</x:v>
      </x:c>
      <x:c r="M5" s="12" t="str">
        <x:v>Balança / informado</x:v>
      </x:c>
      <x:c r="N5" s="12" t="str">
        <x:v>Verde intenso</x:v>
      </x:c>
      <x:c r="O5" s="12" t="str">
        <x:v>Semi-transparente a translúcida</x:v>
      </x:c>
      <x:c r="P5" s="12" t="str"/>
      <x:c r="Q5" s="12" t="str">
        <x:v>Não avaliado / não informado</x:v>
      </x:c>
      <x:c r="R5" s="12" t="str">
        <x:v>Não</x:v>
      </x:c>
      <x:c r="S5" s="12" t="str"/>
      <x:c r="T5" s="12" t="str"/>
      <x:c r="U5" s="20"/>
      <x:c r="V5" s="20"/>
      <x:c r="W5" s="20"/>
      <x:c r="X5" s="20"/>
      <x:c r="Y5" s="20"/>
      <x:c r="Z5" s="20"/>
      <x:c r="AA5" s="20"/>
      <x:c r="AB5" s="12" t="str">
        <x:v>Pendente de precificação individual</x:v>
      </x:c>
      <x:c r="AC5" s="16" t="n">
        <x:v>8.9</x:v>
      </x:c>
      <x:c r="AD5" s="12" t="str">
        <x:v>A+</x:v>
      </x:c>
      <x:c r="AE5" s="12" t="str">
        <x:v>A definir</x:v>
      </x:c>
      <x:c r="AF5" s="12" t="str">
        <x:v>Pingente solitário / anel de luxo</x:v>
      </x:c>
      <x:c r="AG5" s="12" t="str">
        <x:v>Pingente solitário / anel de luxo</x:v>
      </x:c>
      <x:c r="AH5" s="12" t="str">
        <x:v>Coleção</x:v>
      </x:c>
      <x:c r="AI5" s="12" t="str"/>
      <x:c r="AJ5" s="12" t="str"/>
      <x:c r="AK5" s="12" t="str"/>
      <x:c r="AL5" s="12" t="str"/>
      <x:c r="AM5" s="12" t="str">
        <x:v>Não informado</x:v>
      </x:c>
      <x:c r="AN5" s="12" t="str"/>
      <x:c r="AO5" s="12" t="str">
        <x:v>2026-07-01</x:v>
      </x:c>
      <x:c r="AP5" s="12" t="str">
        <x:v>2026-07-19</x:v>
      </x:c>
      <x:c r="AQ5" s="12" t="str">
        <x:v>Alta</x:v>
      </x:c>
      <x:c r="AR5" s="12" t="str">
        <x:v>Inventário mestre completo atualizado em 2026-07-01</x:v>
      </x:c>
      <x:c r="AS5" s="12" t="str">
        <x:v>Precificação individual pendente</x:v>
      </x:c>
      <x:c r="AT5" s="12" t="str">
        <x:v>Avaliação visual; tratamentos não avaliados; confirmar naturalidade/tratamento em laboratório.</x:v>
      </x:c>
    </x:row>
    <x:row r="6">
      <x:c r="A6" s="12" t="str">
        <x:v>DG-EM-005</x:v>
      </x:c>
      <x:c r="B6" s="12" t="str"/>
      <x:c r="C6" s="12" t="str">
        <x:v>Emerald Collection</x:v>
      </x:c>
      <x:c r="D6" s="12" t="str">
        <x:v>Esmeraldas</x:v>
      </x:c>
      <x:c r="E6" s="12" t="str">
        <x:v>Berilo</x:v>
      </x:c>
      <x:c r="F6" s="12" t="str">
        <x:v>Esmeralda</x:v>
      </x:c>
      <x:c r="G6" s="12" t="str">
        <x:v>Gema individual</x:v>
      </x:c>
      <x:c r="H6" s="18" t="n">
        <x:v>1</x:v>
      </x:c>
      <x:c r="I6" s="12" t="str">
        <x:v>Cushion</x:v>
      </x:c>
      <x:c r="J6" s="12" t="str">
        <x:v>18 x 15 x 6</x:v>
      </x:c>
      <x:c r="K6" s="14" t="n">
        <x:v>17.095</x:v>
      </x:c>
      <x:c r="L6" s="12" t="str">
        <x:v>Sim</x:v>
      </x:c>
      <x:c r="M6" s="12" t="str">
        <x:v>Balança / informado</x:v>
      </x:c>
      <x:c r="N6" s="12" t="str">
        <x:v>Verde intenso frio</x:v>
      </x:c>
      <x:c r="O6" s="12" t="str">
        <x:v>Semi-transparente a translúcida</x:v>
      </x:c>
      <x:c r="P6" s="12" t="str"/>
      <x:c r="Q6" s="12" t="str">
        <x:v>Não avaliado / não informado</x:v>
      </x:c>
      <x:c r="R6" s="12" t="str">
        <x:v>Não</x:v>
      </x:c>
      <x:c r="S6" s="12" t="str"/>
      <x:c r="T6" s="12" t="str"/>
      <x:c r="U6" s="20"/>
      <x:c r="V6" s="20"/>
      <x:c r="W6" s="20"/>
      <x:c r="X6" s="20"/>
      <x:c r="Y6" s="20"/>
      <x:c r="Z6" s="20"/>
      <x:c r="AA6" s="20"/>
      <x:c r="AB6" s="12" t="str">
        <x:v>Pendente de precificação individual</x:v>
      </x:c>
      <x:c r="AC6" s="16" t="n">
        <x:v>9</x:v>
      </x:c>
      <x:c r="AD6" s="12" t="str">
        <x:v>A+ Premium</x:v>
      </x:c>
      <x:c r="AE6" s="12" t="str">
        <x:v>A definir</x:v>
      </x:c>
      <x:c r="AF6" s="12" t="str">
        <x:v>Anel masculino luxo / pingente impacto</x:v>
      </x:c>
      <x:c r="AG6" s="12" t="str">
        <x:v>Anel masculino luxo / pingente impacto</x:v>
      </x:c>
      <x:c r="AH6" s="12" t="str">
        <x:v>Coleção</x:v>
      </x:c>
      <x:c r="AI6" s="12" t="str"/>
      <x:c r="AJ6" s="12" t="str"/>
      <x:c r="AK6" s="12" t="str"/>
      <x:c r="AL6" s="12" t="str"/>
      <x:c r="AM6" s="12" t="str">
        <x:v>Não informado</x:v>
      </x:c>
      <x:c r="AN6" s="12" t="str"/>
      <x:c r="AO6" s="12" t="str">
        <x:v>2026-07-01</x:v>
      </x:c>
      <x:c r="AP6" s="12" t="str">
        <x:v>2026-07-19</x:v>
      </x:c>
      <x:c r="AQ6" s="12" t="str">
        <x:v>Alta</x:v>
      </x:c>
      <x:c r="AR6" s="12" t="str">
        <x:v>Inventário mestre completo atualizado em 2026-07-01</x:v>
      </x:c>
      <x:c r="AS6" s="12" t="str">
        <x:v>Precificação individual pendente</x:v>
      </x:c>
      <x:c r="AT6" s="12" t="str">
        <x:v>Avaliação visual; tratamentos não avaliados; confirmar naturalidade/tratamento em laboratório.</x:v>
      </x:c>
    </x:row>
    <x:row r="7">
      <x:c r="A7" s="12" t="str">
        <x:v>DG-EM-006</x:v>
      </x:c>
      <x:c r="B7" s="12" t="str"/>
      <x:c r="C7" s="12" t="str">
        <x:v>Emerald Collection</x:v>
      </x:c>
      <x:c r="D7" s="12" t="str">
        <x:v>Esmeraldas</x:v>
      </x:c>
      <x:c r="E7" s="12" t="str">
        <x:v>Berilo</x:v>
      </x:c>
      <x:c r="F7" s="12" t="str">
        <x:v>Esmeralda</x:v>
      </x:c>
      <x:c r="G7" s="12" t="str">
        <x:v>Gema individual</x:v>
      </x:c>
      <x:c r="H7" s="18" t="n">
        <x:v>1</x:v>
      </x:c>
      <x:c r="I7" s="12" t="str">
        <x:v>Coração</x:v>
      </x:c>
      <x:c r="J7" s="12" t="str">
        <x:v>12 x 10 x 4</x:v>
      </x:c>
      <x:c r="K7" s="14" t="n">
        <x:v>3.04</x:v>
      </x:c>
      <x:c r="L7" s="12" t="str">
        <x:v>Sim</x:v>
      </x:c>
      <x:c r="M7" s="12" t="str">
        <x:v>Balança / informado</x:v>
      </x:c>
      <x:c r="N7" s="12" t="str">
        <x:v>Verde claro vivo</x:v>
      </x:c>
      <x:c r="O7" s="12" t="str">
        <x:v>Semi-transparente a translúcida</x:v>
      </x:c>
      <x:c r="P7" s="12" t="str"/>
      <x:c r="Q7" s="12" t="str">
        <x:v>Não avaliado / não informado</x:v>
      </x:c>
      <x:c r="R7" s="12" t="str">
        <x:v>Não</x:v>
      </x:c>
      <x:c r="S7" s="12" t="str"/>
      <x:c r="T7" s="12" t="str"/>
      <x:c r="U7" s="20"/>
      <x:c r="V7" s="20"/>
      <x:c r="W7" s="20"/>
      <x:c r="X7" s="20"/>
      <x:c r="Y7" s="20"/>
      <x:c r="Z7" s="20"/>
      <x:c r="AA7" s="20"/>
      <x:c r="AB7" s="12" t="str">
        <x:v>Pendente de precificação individual</x:v>
      </x:c>
      <x:c r="AC7" s="16" t="n">
        <x:v>8.5</x:v>
      </x:c>
      <x:c r="AD7" s="12" t="str">
        <x:v>A</x:v>
      </x:c>
      <x:c r="AE7" s="12" t="str">
        <x:v>A definir</x:v>
      </x:c>
      <x:c r="AF7" s="12" t="str">
        <x:v>Pingente coração / anel romântico</x:v>
      </x:c>
      <x:c r="AG7" s="12" t="str">
        <x:v>Pingente coração / anel romântico</x:v>
      </x:c>
      <x:c r="AH7" s="12" t="str">
        <x:v>Coleção</x:v>
      </x:c>
      <x:c r="AI7" s="12" t="str"/>
      <x:c r="AJ7" s="12" t="str"/>
      <x:c r="AK7" s="12" t="str"/>
      <x:c r="AL7" s="12" t="str"/>
      <x:c r="AM7" s="12" t="str">
        <x:v>Não informado</x:v>
      </x:c>
      <x:c r="AN7" s="12" t="str"/>
      <x:c r="AO7" s="12" t="str">
        <x:v>2026-07-01</x:v>
      </x:c>
      <x:c r="AP7" s="12" t="str">
        <x:v>2026-07-19</x:v>
      </x:c>
      <x:c r="AQ7" s="12" t="str">
        <x:v>Alta</x:v>
      </x:c>
      <x:c r="AR7" s="12" t="str">
        <x:v>Inventário mestre completo atualizado em 2026-07-01</x:v>
      </x:c>
      <x:c r="AS7" s="12" t="str">
        <x:v>Precificação individual pendente</x:v>
      </x:c>
      <x:c r="AT7" s="12" t="str">
        <x:v>Avaliação visual; tratamentos não avaliados; confirmar naturalidade/tratamento em laboratório.</x:v>
      </x:c>
    </x:row>
    <x:row r="8">
      <x:c r="A8" s="12" t="str">
        <x:v>DG-EM-007</x:v>
      </x:c>
      <x:c r="B8" s="12" t="str"/>
      <x:c r="C8" s="12" t="str">
        <x:v>Emerald Collection</x:v>
      </x:c>
      <x:c r="D8" s="12" t="str">
        <x:v>Esmeraldas</x:v>
      </x:c>
      <x:c r="E8" s="12" t="str">
        <x:v>Berilo</x:v>
      </x:c>
      <x:c r="F8" s="12" t="str">
        <x:v>Esmeralda</x:v>
      </x:c>
      <x:c r="G8" s="12" t="str">
        <x:v>Gema individual</x:v>
      </x:c>
      <x:c r="H8" s="18" t="n">
        <x:v>1</x:v>
      </x:c>
      <x:c r="I8" s="12" t="str">
        <x:v>Oval</x:v>
      </x:c>
      <x:c r="J8" s="12" t="str">
        <x:v>10 x 7 x 3</x:v>
      </x:c>
      <x:c r="K8" s="14" t="n">
        <x:v>2.87</x:v>
      </x:c>
      <x:c r="L8" s="12" t="str">
        <x:v>Sim</x:v>
      </x:c>
      <x:c r="M8" s="12" t="str">
        <x:v>Balança / informado</x:v>
      </x:c>
      <x:c r="N8" s="12" t="str">
        <x:v>Verde médio azulado</x:v>
      </x:c>
      <x:c r="O8" s="12" t="str">
        <x:v>Semi-transparente a translúcida</x:v>
      </x:c>
      <x:c r="P8" s="12" t="str"/>
      <x:c r="Q8" s="12" t="str">
        <x:v>Não avaliado / não informado</x:v>
      </x:c>
      <x:c r="R8" s="12" t="str">
        <x:v>Não</x:v>
      </x:c>
      <x:c r="S8" s="12" t="str"/>
      <x:c r="T8" s="12" t="str"/>
      <x:c r="U8" s="20"/>
      <x:c r="V8" s="20"/>
      <x:c r="W8" s="20"/>
      <x:c r="X8" s="20"/>
      <x:c r="Y8" s="20"/>
      <x:c r="Z8" s="20"/>
      <x:c r="AA8" s="20"/>
      <x:c r="AB8" s="12" t="str">
        <x:v>Pendente de precificação individual</x:v>
      </x:c>
      <x:c r="AC8" s="16" t="n">
        <x:v>8.4</x:v>
      </x:c>
      <x:c r="AD8" s="12" t="str">
        <x:v>A</x:v>
      </x:c>
      <x:c r="AE8" s="12" t="str">
        <x:v>A definir</x:v>
      </x:c>
      <x:c r="AF8" s="12" t="str">
        <x:v>Anel delicado / pingente</x:v>
      </x:c>
      <x:c r="AG8" s="12" t="str">
        <x:v>Anel delicado / pingente</x:v>
      </x:c>
      <x:c r="AH8" s="12" t="str">
        <x:v>Coleção</x:v>
      </x:c>
      <x:c r="AI8" s="12" t="str"/>
      <x:c r="AJ8" s="12" t="str"/>
      <x:c r="AK8" s="12" t="str"/>
      <x:c r="AL8" s="12" t="str"/>
      <x:c r="AM8" s="12" t="str">
        <x:v>Não informado</x:v>
      </x:c>
      <x:c r="AN8" s="12" t="str"/>
      <x:c r="AO8" s="12" t="str">
        <x:v>2026-07-01</x:v>
      </x:c>
      <x:c r="AP8" s="12" t="str">
        <x:v>2026-07-19</x:v>
      </x:c>
      <x:c r="AQ8" s="12" t="str">
        <x:v>Alta</x:v>
      </x:c>
      <x:c r="AR8" s="12" t="str">
        <x:v>Inventário mestre completo atualizado em 2026-07-01</x:v>
      </x:c>
      <x:c r="AS8" s="12" t="str">
        <x:v>Precificação individual pendente</x:v>
      </x:c>
      <x:c r="AT8" s="12" t="str">
        <x:v>Avaliação visual; tratamentos não avaliados; confirmar naturalidade/tratamento em laboratório.</x:v>
      </x:c>
    </x:row>
    <x:row r="9">
      <x:c r="A9" s="12" t="str">
        <x:v>DG-EM-008</x:v>
      </x:c>
      <x:c r="B9" s="12" t="str"/>
      <x:c r="C9" s="12" t="str">
        <x:v>Emerald Collection</x:v>
      </x:c>
      <x:c r="D9" s="12" t="str">
        <x:v>Esmeraldas</x:v>
      </x:c>
      <x:c r="E9" s="12" t="str">
        <x:v>Berilo</x:v>
      </x:c>
      <x:c r="F9" s="12" t="str">
        <x:v>Esmeralda</x:v>
      </x:c>
      <x:c r="G9" s="12" t="str">
        <x:v>Gema individual</x:v>
      </x:c>
      <x:c r="H9" s="18" t="n">
        <x:v>1</x:v>
      </x:c>
      <x:c r="I9" s="12" t="str">
        <x:v>Emerald Cut</x:v>
      </x:c>
      <x:c r="J9" s="12" t="str">
        <x:v>13 x 10 x 5</x:v>
      </x:c>
      <x:c r="K9" s="14" t="n">
        <x:v>7.5</x:v>
      </x:c>
      <x:c r="L9" s="12" t="str">
        <x:v>Sim</x:v>
      </x:c>
      <x:c r="M9" s="12" t="str">
        <x:v>Balança / informado</x:v>
      </x:c>
      <x:c r="N9" s="12" t="str">
        <x:v>Verde profundo</x:v>
      </x:c>
      <x:c r="O9" s="12" t="str">
        <x:v>Semi-transparente a translúcida</x:v>
      </x:c>
      <x:c r="P9" s="12" t="str"/>
      <x:c r="Q9" s="12" t="str">
        <x:v>Não avaliado / não informado</x:v>
      </x:c>
      <x:c r="R9" s="12" t="str">
        <x:v>Não</x:v>
      </x:c>
      <x:c r="S9" s="12" t="str"/>
      <x:c r="T9" s="12" t="str"/>
      <x:c r="U9" s="20"/>
      <x:c r="V9" s="20"/>
      <x:c r="W9" s="20"/>
      <x:c r="X9" s="20"/>
      <x:c r="Y9" s="20"/>
      <x:c r="Z9" s="20"/>
      <x:c r="AA9" s="20"/>
      <x:c r="AB9" s="12" t="str">
        <x:v>Pendente de precificação individual</x:v>
      </x:c>
      <x:c r="AC9" s="16" t="n">
        <x:v>8.8</x:v>
      </x:c>
      <x:c r="AD9" s="12" t="str">
        <x:v>A+</x:v>
      </x:c>
      <x:c r="AE9" s="12" t="str">
        <x:v>A definir</x:v>
      </x:c>
      <x:c r="AF9" s="12" t="str">
        <x:v>Anel masculino premium / Art Déco</x:v>
      </x:c>
      <x:c r="AG9" s="12" t="str">
        <x:v>Anel masculino premium / Art Déco</x:v>
      </x:c>
      <x:c r="AH9" s="12" t="str">
        <x:v>Coleção</x:v>
      </x:c>
      <x:c r="AI9" s="12" t="str"/>
      <x:c r="AJ9" s="12" t="str"/>
      <x:c r="AK9" s="12" t="str"/>
      <x:c r="AL9" s="12" t="str"/>
      <x:c r="AM9" s="12" t="str">
        <x:v>Não informado</x:v>
      </x:c>
      <x:c r="AN9" s="12" t="str"/>
      <x:c r="AO9" s="12" t="str">
        <x:v>2026-07-01</x:v>
      </x:c>
      <x:c r="AP9" s="12" t="str">
        <x:v>2026-07-19</x:v>
      </x:c>
      <x:c r="AQ9" s="12" t="str">
        <x:v>Alta</x:v>
      </x:c>
      <x:c r="AR9" s="12" t="str">
        <x:v>Inventário mestre completo atualizado em 2026-07-01</x:v>
      </x:c>
      <x:c r="AS9" s="12" t="str">
        <x:v>Precificação individual pendente</x:v>
      </x:c>
      <x:c r="AT9" s="12" t="str">
        <x:v>Avaliação visual; tratamentos não avaliados; confirmar naturalidade/tratamento em laboratório.</x:v>
      </x:c>
    </x:row>
    <x:row r="10">
      <x:c r="A10" s="12" t="str">
        <x:v>DG-EM-009</x:v>
      </x:c>
      <x:c r="B10" s="12" t="str"/>
      <x:c r="C10" s="12" t="str">
        <x:v>Emerald Collection</x:v>
      </x:c>
      <x:c r="D10" s="12" t="str">
        <x:v>Esmeraldas</x:v>
      </x:c>
      <x:c r="E10" s="12" t="str">
        <x:v>Berilo</x:v>
      </x:c>
      <x:c r="F10" s="12" t="str">
        <x:v>Esmeralda</x:v>
      </x:c>
      <x:c r="G10" s="12" t="str">
        <x:v>Gema individual</x:v>
      </x:c>
      <x:c r="H10" s="18" t="n">
        <x:v>1</x:v>
      </x:c>
      <x:c r="I10" s="12" t="str">
        <x:v>Emerald Cut</x:v>
      </x:c>
      <x:c r="J10" s="12" t="str">
        <x:v>13 x 10 x 4</x:v>
      </x:c>
      <x:c r="K10" s="14" t="n">
        <x:v>5.36</x:v>
      </x:c>
      <x:c r="L10" s="12" t="str">
        <x:v>Sim</x:v>
      </x:c>
      <x:c r="M10" s="12" t="str">
        <x:v>Balança / informado</x:v>
      </x:c>
      <x:c r="N10" s="12" t="str">
        <x:v>Verde vivo</x:v>
      </x:c>
      <x:c r="O10" s="12" t="str">
        <x:v>Semi-transparente a translúcida</x:v>
      </x:c>
      <x:c r="P10" s="12" t="str"/>
      <x:c r="Q10" s="12" t="str">
        <x:v>Não avaliado / não informado</x:v>
      </x:c>
      <x:c r="R10" s="12" t="str">
        <x:v>Não</x:v>
      </x:c>
      <x:c r="S10" s="12" t="str"/>
      <x:c r="T10" s="12" t="str"/>
      <x:c r="U10" s="20"/>
      <x:c r="V10" s="20"/>
      <x:c r="W10" s="20"/>
      <x:c r="X10" s="20"/>
      <x:c r="Y10" s="20"/>
      <x:c r="Z10" s="20"/>
      <x:c r="AA10" s="20"/>
      <x:c r="AB10" s="12" t="str">
        <x:v>Pendente de precificação individual</x:v>
      </x:c>
      <x:c r="AC10" s="16" t="n">
        <x:v>8.7</x:v>
      </x:c>
      <x:c r="AD10" s="12" t="str">
        <x:v>A</x:v>
      </x:c>
      <x:c r="AE10" s="12" t="str">
        <x:v>A definir</x:v>
      </x:c>
      <x:c r="AF10" s="12" t="str">
        <x:v>Anel clássico / pingente halo</x:v>
      </x:c>
      <x:c r="AG10" s="12" t="str">
        <x:v>Anel clássico / pingente halo</x:v>
      </x:c>
      <x:c r="AH10" s="12" t="str">
        <x:v>Coleção</x:v>
      </x:c>
      <x:c r="AI10" s="12" t="str"/>
      <x:c r="AJ10" s="12" t="str"/>
      <x:c r="AK10" s="12" t="str"/>
      <x:c r="AL10" s="12" t="str"/>
      <x:c r="AM10" s="12" t="str">
        <x:v>Não informado</x:v>
      </x:c>
      <x:c r="AN10" s="12" t="str"/>
      <x:c r="AO10" s="12" t="str">
        <x:v>2026-07-01</x:v>
      </x:c>
      <x:c r="AP10" s="12" t="str">
        <x:v>2026-07-19</x:v>
      </x:c>
      <x:c r="AQ10" s="12" t="str">
        <x:v>Alta</x:v>
      </x:c>
      <x:c r="AR10" s="12" t="str">
        <x:v>Inventário mestre completo atualizado em 2026-07-01</x:v>
      </x:c>
      <x:c r="AS10" s="12" t="str">
        <x:v>Precificação individual pendente</x:v>
      </x:c>
      <x:c r="AT10" s="12" t="str">
        <x:v>Avaliação visual; tratamentos não avaliados; confirmar naturalidade/tratamento em laboratório.</x:v>
      </x:c>
    </x:row>
    <x:row r="11">
      <x:c r="A11" s="12" t="str">
        <x:v>DG-EM-010</x:v>
      </x:c>
      <x:c r="B11" s="12" t="str"/>
      <x:c r="C11" s="12" t="str">
        <x:v>Emerald Collection</x:v>
      </x:c>
      <x:c r="D11" s="12" t="str">
        <x:v>Esmeraldas</x:v>
      </x:c>
      <x:c r="E11" s="12" t="str">
        <x:v>Berilo</x:v>
      </x:c>
      <x:c r="F11" s="12" t="str">
        <x:v>Esmeralda</x:v>
      </x:c>
      <x:c r="G11" s="12" t="str">
        <x:v>Gema individual</x:v>
      </x:c>
      <x:c r="H11" s="18" t="n">
        <x:v>1</x:v>
      </x:c>
      <x:c r="I11" s="12" t="str">
        <x:v>Gota</x:v>
      </x:c>
      <x:c r="J11" s="12" t="str">
        <x:v>15 x 11 x 5</x:v>
      </x:c>
      <x:c r="K11" s="14" t="n">
        <x:v>6.075</x:v>
      </x:c>
      <x:c r="L11" s="12" t="str">
        <x:v>Sim</x:v>
      </x:c>
      <x:c r="M11" s="12" t="str">
        <x:v>Balança / informado</x:v>
      </x:c>
      <x:c r="N11" s="12" t="str">
        <x:v>Verde saturado uniforme</x:v>
      </x:c>
      <x:c r="O11" s="12" t="str">
        <x:v>Semi-transparente a translúcida</x:v>
      </x:c>
      <x:c r="P11" s="12" t="str"/>
      <x:c r="Q11" s="12" t="str">
        <x:v>Não avaliado / não informado</x:v>
      </x:c>
      <x:c r="R11" s="12" t="str">
        <x:v>Não</x:v>
      </x:c>
      <x:c r="S11" s="12" t="str"/>
      <x:c r="T11" s="12" t="str"/>
      <x:c r="U11" s="20"/>
      <x:c r="V11" s="20"/>
      <x:c r="W11" s="20"/>
      <x:c r="X11" s="20"/>
      <x:c r="Y11" s="20"/>
      <x:c r="Z11" s="20"/>
      <x:c r="AA11" s="20"/>
      <x:c r="AB11" s="12" t="str">
        <x:v>Pendente de precificação individual</x:v>
      </x:c>
      <x:c r="AC11" s="16" t="n">
        <x:v>9.1</x:v>
      </x:c>
      <x:c r="AD11" s="12" t="str">
        <x:v>A+</x:v>
      </x:c>
      <x:c r="AE11" s="12" t="str">
        <x:v>A definir</x:v>
      </x:c>
      <x:c r="AF11" s="12" t="str">
        <x:v>Pingente alto padrão / anel solitário</x:v>
      </x:c>
      <x:c r="AG11" s="12" t="str">
        <x:v>Pingente alto padrão / anel solitário</x:v>
      </x:c>
      <x:c r="AH11" s="12" t="str">
        <x:v>Coleção</x:v>
      </x:c>
      <x:c r="AI11" s="12" t="str"/>
      <x:c r="AJ11" s="12" t="str"/>
      <x:c r="AK11" s="12" t="str"/>
      <x:c r="AL11" s="12" t="str"/>
      <x:c r="AM11" s="12" t="str">
        <x:v>Não informado</x:v>
      </x:c>
      <x:c r="AN11" s="12" t="str"/>
      <x:c r="AO11" s="12" t="str">
        <x:v>2026-07-01</x:v>
      </x:c>
      <x:c r="AP11" s="12" t="str">
        <x:v>2026-07-19</x:v>
      </x:c>
      <x:c r="AQ11" s="12" t="str">
        <x:v>Alta</x:v>
      </x:c>
      <x:c r="AR11" s="12" t="str">
        <x:v>Inventário mestre completo atualizado em 2026-07-01</x:v>
      </x:c>
      <x:c r="AS11" s="12" t="str">
        <x:v>Precificação individual pendente</x:v>
      </x:c>
      <x:c r="AT11" s="12" t="str">
        <x:v>Avaliação visual; tratamentos não avaliados; confirmar naturalidade/tratamento em laboratório.</x:v>
      </x:c>
    </x:row>
    <x:row r="12">
      <x:c r="A12" s="12" t="str">
        <x:v>DG-EM-011</x:v>
      </x:c>
      <x:c r="B12" s="12" t="str"/>
      <x:c r="C12" s="12" t="str">
        <x:v>Emerald Collection</x:v>
      </x:c>
      <x:c r="D12" s="12" t="str">
        <x:v>Esmeraldas</x:v>
      </x:c>
      <x:c r="E12" s="12" t="str">
        <x:v>Berilo</x:v>
      </x:c>
      <x:c r="F12" s="12" t="str">
        <x:v>Esmeralda</x:v>
      </x:c>
      <x:c r="G12" s="12" t="str">
        <x:v>Gema individual</x:v>
      </x:c>
      <x:c r="H12" s="18" t="n">
        <x:v>1</x:v>
      </x:c>
      <x:c r="I12" s="12" t="str">
        <x:v>Octogonal / Emerald Cut modificado</x:v>
      </x:c>
      <x:c r="J12" s="12" t="str">
        <x:v>10 x 11 x 9</x:v>
      </x:c>
      <x:c r="K12" s="14" t="n">
        <x:v>7.81</x:v>
      </x:c>
      <x:c r="L12" s="12" t="str">
        <x:v>Sim</x:v>
      </x:c>
      <x:c r="M12" s="12" t="str">
        <x:v>Balança / informado</x:v>
      </x:c>
      <x:c r="N12" s="12" t="str">
        <x:v>Verde intenso homogêneo</x:v>
      </x:c>
      <x:c r="O12" s="12" t="str">
        <x:v>Semi-transparente a translúcida</x:v>
      </x:c>
      <x:c r="P12" s="12" t="str"/>
      <x:c r="Q12" s="12" t="str">
        <x:v>Não avaliado / não informado</x:v>
      </x:c>
      <x:c r="R12" s="12" t="str">
        <x:v>Não</x:v>
      </x:c>
      <x:c r="S12" s="12" t="str"/>
      <x:c r="T12" s="12" t="str"/>
      <x:c r="U12" s="20"/>
      <x:c r="V12" s="20"/>
      <x:c r="W12" s="20"/>
      <x:c r="X12" s="20"/>
      <x:c r="Y12" s="20"/>
      <x:c r="Z12" s="20"/>
      <x:c r="AA12" s="20"/>
      <x:c r="AB12" s="12" t="str">
        <x:v>Pendente de precificação individual</x:v>
      </x:c>
      <x:c r="AC12" s="16" t="n">
        <x:v>8.9</x:v>
      </x:c>
      <x:c r="AD12" s="12" t="str">
        <x:v>A+ Premium</x:v>
      </x:c>
      <x:c r="AE12" s="12" t="str">
        <x:v>A definir</x:v>
      </x:c>
      <x:c r="AF12" s="12" t="str">
        <x:v>Anel masculino luxo / pingente clássico</x:v>
      </x:c>
      <x:c r="AG12" s="12" t="str">
        <x:v>Anel masculino luxo / pingente clássico</x:v>
      </x:c>
      <x:c r="AH12" s="12" t="str">
        <x:v>Coleção</x:v>
      </x:c>
      <x:c r="AI12" s="12" t="str"/>
      <x:c r="AJ12" s="12" t="str"/>
      <x:c r="AK12" s="12" t="str"/>
      <x:c r="AL12" s="12" t="str"/>
      <x:c r="AM12" s="12" t="str">
        <x:v>Não informado</x:v>
      </x:c>
      <x:c r="AN12" s="12" t="str"/>
      <x:c r="AO12" s="12" t="str">
        <x:v>2026-07-01</x:v>
      </x:c>
      <x:c r="AP12" s="12" t="str">
        <x:v>2026-07-19</x:v>
      </x:c>
      <x:c r="AQ12" s="12" t="str">
        <x:v>Alta</x:v>
      </x:c>
      <x:c r="AR12" s="12" t="str">
        <x:v>Inventário mestre completo atualizado em 2026-07-01</x:v>
      </x:c>
      <x:c r="AS12" s="12" t="str">
        <x:v>Precificação individual pendente</x:v>
      </x:c>
      <x:c r="AT12" s="12" t="str">
        <x:v>Avaliação visual; tratamentos não avaliados; confirmar naturalidade/tratamento em laboratório.</x:v>
      </x:c>
    </x:row>
    <x:row r="13">
      <x:c r="A13" s="12" t="str">
        <x:v>DG-EM-012</x:v>
      </x:c>
      <x:c r="B13" s="12" t="str"/>
      <x:c r="C13" s="12" t="str">
        <x:v>Emerald Collection</x:v>
      </x:c>
      <x:c r="D13" s="12" t="str">
        <x:v>Esmeraldas</x:v>
      </x:c>
      <x:c r="E13" s="12" t="str">
        <x:v>Berilo</x:v>
      </x:c>
      <x:c r="F13" s="12" t="str">
        <x:v>Esmeralda</x:v>
      </x:c>
      <x:c r="G13" s="12" t="str">
        <x:v>Gema individual</x:v>
      </x:c>
      <x:c r="H13" s="18" t="n">
        <x:v>1</x:v>
      </x:c>
      <x:c r="I13" s="12" t="str">
        <x:v>Gota alongada</x:v>
      </x:c>
      <x:c r="J13" s="12" t="str">
        <x:v>16 x 9 x 6</x:v>
      </x:c>
      <x:c r="K13" s="14" t="n">
        <x:v>5.24</x:v>
      </x:c>
      <x:c r="L13" s="12" t="str">
        <x:v>Sim</x:v>
      </x:c>
      <x:c r="M13" s="12" t="str">
        <x:v>Balança / informado</x:v>
      </x:c>
      <x:c r="N13" s="12" t="str">
        <x:v>Verde levemente azulado vivo</x:v>
      </x:c>
      <x:c r="O13" s="12" t="str">
        <x:v>Semi-transparente a translúcida</x:v>
      </x:c>
      <x:c r="P13" s="12" t="str"/>
      <x:c r="Q13" s="12" t="str">
        <x:v>Não avaliado / não informado</x:v>
      </x:c>
      <x:c r="R13" s="12" t="str">
        <x:v>Não</x:v>
      </x:c>
      <x:c r="S13" s="12" t="str"/>
      <x:c r="T13" s="12" t="str"/>
      <x:c r="U13" s="20"/>
      <x:c r="V13" s="20"/>
      <x:c r="W13" s="20"/>
      <x:c r="X13" s="20"/>
      <x:c r="Y13" s="20"/>
      <x:c r="Z13" s="20"/>
      <x:c r="AA13" s="20"/>
      <x:c r="AB13" s="12" t="str">
        <x:v>Pendente de precificação individual</x:v>
      </x:c>
      <x:c r="AC13" s="16" t="n">
        <x:v>8.6</x:v>
      </x:c>
      <x:c r="AD13" s="12" t="str">
        <x:v>A</x:v>
      </x:c>
      <x:c r="AE13" s="12" t="str">
        <x:v>A definir</x:v>
      </x:c>
      <x:c r="AF13" s="12" t="str">
        <x:v>Pingente gota / anel</x:v>
      </x:c>
      <x:c r="AG13" s="12" t="str">
        <x:v>Pingente gota / anel</x:v>
      </x:c>
      <x:c r="AH13" s="12" t="str">
        <x:v>Coleção</x:v>
      </x:c>
      <x:c r="AI13" s="12" t="str"/>
      <x:c r="AJ13" s="12" t="str"/>
      <x:c r="AK13" s="12" t="str"/>
      <x:c r="AL13" s="12" t="str"/>
      <x:c r="AM13" s="12" t="str">
        <x:v>Não informado</x:v>
      </x:c>
      <x:c r="AN13" s="12" t="str"/>
      <x:c r="AO13" s="12" t="str">
        <x:v>2026-07-01</x:v>
      </x:c>
      <x:c r="AP13" s="12" t="str">
        <x:v>2026-07-19</x:v>
      </x:c>
      <x:c r="AQ13" s="12" t="str">
        <x:v>Alta</x:v>
      </x:c>
      <x:c r="AR13" s="12" t="str">
        <x:v>Inventário mestre completo atualizado em 2026-07-01</x:v>
      </x:c>
      <x:c r="AS13" s="12" t="str">
        <x:v>Precificação individual pendente</x:v>
      </x:c>
      <x:c r="AT13" s="12" t="str">
        <x:v>Avaliação visual; tratamentos não avaliados; confirmar naturalidade/tratamento em laboratório.</x:v>
      </x:c>
    </x:row>
    <x:row r="14">
      <x:c r="A14" s="12" t="str">
        <x:v>DG-EM-013</x:v>
      </x:c>
      <x:c r="B14" s="12" t="str"/>
      <x:c r="C14" s="12" t="str">
        <x:v>Emerald Collection</x:v>
      </x:c>
      <x:c r="D14" s="12" t="str">
        <x:v>Esmeraldas</x:v>
      </x:c>
      <x:c r="E14" s="12" t="str">
        <x:v>Berilo</x:v>
      </x:c>
      <x:c r="F14" s="12" t="str">
        <x:v>Esmeralda</x:v>
      </x:c>
      <x:c r="G14" s="12" t="str">
        <x:v>Gema individual</x:v>
      </x:c>
      <x:c r="H14" s="18" t="n">
        <x:v>1</x:v>
      </x:c>
      <x:c r="I14" s="12" t="str">
        <x:v>Octogonal/Emerald Cut</x:v>
      </x:c>
      <x:c r="J14" s="12" t="str">
        <x:v>10 x 10 x 5</x:v>
      </x:c>
      <x:c r="K14" s="14" t="n">
        <x:v>5.855</x:v>
      </x:c>
      <x:c r="L14" s="12" t="str">
        <x:v>Sim</x:v>
      </x:c>
      <x:c r="M14" s="12" t="str">
        <x:v>Balança / informado</x:v>
      </x:c>
      <x:c r="N14" s="12" t="str">
        <x:v>Verde claro acinzentado</x:v>
      </x:c>
      <x:c r="O14" s="12" t="str">
        <x:v>Semi-transparente a translúcida</x:v>
      </x:c>
      <x:c r="P14" s="12" t="str"/>
      <x:c r="Q14" s="12" t="str">
        <x:v>Não avaliado / não informado</x:v>
      </x:c>
      <x:c r="R14" s="12" t="str">
        <x:v>Não</x:v>
      </x:c>
      <x:c r="S14" s="12" t="str"/>
      <x:c r="T14" s="12" t="str"/>
      <x:c r="U14" s="20"/>
      <x:c r="V14" s="20"/>
      <x:c r="W14" s="20"/>
      <x:c r="X14" s="20"/>
      <x:c r="Y14" s="20"/>
      <x:c r="Z14" s="20"/>
      <x:c r="AA14" s="20"/>
      <x:c r="AB14" s="12" t="str">
        <x:v>Pendente de precificação individual</x:v>
      </x:c>
      <x:c r="AC14" s="16" t="n">
        <x:v>7.7</x:v>
      </x:c>
      <x:c r="AD14" s="12" t="str">
        <x:v>A</x:v>
      </x:c>
      <x:c r="AE14" s="12" t="str">
        <x:v>A definir</x:v>
      </x:c>
      <x:c r="AF14" s="12" t="str">
        <x:v>Anel ou pingente comercial</x:v>
      </x:c>
      <x:c r="AG14" s="12" t="str">
        <x:v>Anel ou pingente comercial</x:v>
      </x:c>
      <x:c r="AH14" s="12" t="str">
        <x:v>Coleção</x:v>
      </x:c>
      <x:c r="AI14" s="12" t="str"/>
      <x:c r="AJ14" s="12" t="str"/>
      <x:c r="AK14" s="12" t="str"/>
      <x:c r="AL14" s="12" t="str"/>
      <x:c r="AM14" s="12" t="str">
        <x:v>Não informado</x:v>
      </x:c>
      <x:c r="AN14" s="12" t="str"/>
      <x:c r="AO14" s="12" t="str">
        <x:v>2026-07-01</x:v>
      </x:c>
      <x:c r="AP14" s="12" t="str">
        <x:v>2026-07-19</x:v>
      </x:c>
      <x:c r="AQ14" s="12" t="str">
        <x:v>Alta</x:v>
      </x:c>
      <x:c r="AR14" s="12" t="str">
        <x:v>Inventário mestre completo atualizado em 2026-07-01</x:v>
      </x:c>
      <x:c r="AS14" s="12" t="str">
        <x:v>Precificação individual pendente</x:v>
      </x:c>
      <x:c r="AT14" s="12" t="str">
        <x:v>Avaliação visual; tratamentos não avaliados; confirmar naturalidade/tratamento em laboratório.</x:v>
      </x:c>
    </x:row>
    <x:row r="15">
      <x:c r="A15" s="12" t="str">
        <x:v>DG-EM-014</x:v>
      </x:c>
      <x:c r="B15" s="12" t="str"/>
      <x:c r="C15" s="12" t="str">
        <x:v>Emerald Collection</x:v>
      </x:c>
      <x:c r="D15" s="12" t="str">
        <x:v>Esmeraldas</x:v>
      </x:c>
      <x:c r="E15" s="12" t="str">
        <x:v>Berilo</x:v>
      </x:c>
      <x:c r="F15" s="12" t="str">
        <x:v>Esmeralda</x:v>
      </x:c>
      <x:c r="G15" s="12" t="str">
        <x:v>Gema individual</x:v>
      </x:c>
      <x:c r="H15" s="18" t="n">
        <x:v>1</x:v>
      </x:c>
      <x:c r="I15" s="12" t="str">
        <x:v>Gota</x:v>
      </x:c>
      <x:c r="J15" s="12" t="str">
        <x:v>10 x 9 x 4</x:v>
      </x:c>
      <x:c r="K15" s="14" t="n">
        <x:v>2.46</x:v>
      </x:c>
      <x:c r="L15" s="12" t="str">
        <x:v>Sim</x:v>
      </x:c>
      <x:c r="M15" s="12" t="str">
        <x:v>Balança / informado</x:v>
      </x:c>
      <x:c r="N15" s="12" t="str">
        <x:v>Verde vivo</x:v>
      </x:c>
      <x:c r="O15" s="12" t="str">
        <x:v>Semi-transparente a translúcida</x:v>
      </x:c>
      <x:c r="P15" s="12" t="str"/>
      <x:c r="Q15" s="12" t="str">
        <x:v>Não avaliado / não informado</x:v>
      </x:c>
      <x:c r="R15" s="12" t="str">
        <x:v>Não</x:v>
      </x:c>
      <x:c r="S15" s="12" t="str"/>
      <x:c r="T15" s="12" t="str"/>
      <x:c r="U15" s="20"/>
      <x:c r="V15" s="20"/>
      <x:c r="W15" s="20"/>
      <x:c r="X15" s="20"/>
      <x:c r="Y15" s="20"/>
      <x:c r="Z15" s="20"/>
      <x:c r="AA15" s="20"/>
      <x:c r="AB15" s="12" t="str">
        <x:v>Pendente de precificação individual</x:v>
      </x:c>
      <x:c r="AC15" s="16" t="n">
        <x:v>8</x:v>
      </x:c>
      <x:c r="AD15" s="12" t="str">
        <x:v>A-</x:v>
      </x:c>
      <x:c r="AE15" s="12" t="str">
        <x:v>A definir</x:v>
      </x:c>
      <x:c r="AF15" s="12" t="str">
        <x:v>Anel solitário / pingente delicado</x:v>
      </x:c>
      <x:c r="AG15" s="12" t="str">
        <x:v>Anel solitário / pingente delicado</x:v>
      </x:c>
      <x:c r="AH15" s="12" t="str">
        <x:v>Coleção</x:v>
      </x:c>
      <x:c r="AI15" s="12" t="str"/>
      <x:c r="AJ15" s="12" t="str"/>
      <x:c r="AK15" s="12" t="str"/>
      <x:c r="AL15" s="12" t="str"/>
      <x:c r="AM15" s="12" t="str">
        <x:v>Não informado</x:v>
      </x:c>
      <x:c r="AN15" s="12" t="str"/>
      <x:c r="AO15" s="12" t="str">
        <x:v>2026-07-01</x:v>
      </x:c>
      <x:c r="AP15" s="12" t="str">
        <x:v>2026-07-19</x:v>
      </x:c>
      <x:c r="AQ15" s="12" t="str">
        <x:v>Alta</x:v>
      </x:c>
      <x:c r="AR15" s="12" t="str">
        <x:v>Inventário mestre completo atualizado em 2026-07-01</x:v>
      </x:c>
      <x:c r="AS15" s="12" t="str">
        <x:v>Precificação individual pendente</x:v>
      </x:c>
      <x:c r="AT15" s="12" t="str">
        <x:v>Avaliação visual; tratamentos não avaliados; confirmar naturalidade/tratamento em laboratório.</x:v>
      </x:c>
    </x:row>
    <x:row r="16">
      <x:c r="A16" s="12" t="str">
        <x:v>DG-EM-015</x:v>
      </x:c>
      <x:c r="B16" s="12" t="str"/>
      <x:c r="C16" s="12" t="str">
        <x:v>Emerald Collection</x:v>
      </x:c>
      <x:c r="D16" s="12" t="str">
        <x:v>Esmeraldas</x:v>
      </x:c>
      <x:c r="E16" s="12" t="str">
        <x:v>Berilo</x:v>
      </x:c>
      <x:c r="F16" s="12" t="str">
        <x:v>Esmeralda</x:v>
      </x:c>
      <x:c r="G16" s="12" t="str">
        <x:v>Gema individual</x:v>
      </x:c>
      <x:c r="H16" s="18" t="n">
        <x:v>1</x:v>
      </x:c>
      <x:c r="I16" s="12" t="str">
        <x:v>Octogonal / Emerald Cut modificada</x:v>
      </x:c>
      <x:c r="J16" s="12" t="str">
        <x:v>10 x 9 x 3</x:v>
      </x:c>
      <x:c r="K16" s="14" t="n">
        <x:v>3.76</x:v>
      </x:c>
      <x:c r="L16" s="12" t="str">
        <x:v>Sim</x:v>
      </x:c>
      <x:c r="M16" s="12" t="str">
        <x:v>Balança / informado</x:v>
      </x:c>
      <x:c r="N16" s="12" t="str">
        <x:v>Verde médio/amarelado</x:v>
      </x:c>
      <x:c r="O16" s="12" t="str">
        <x:v>Semi-transparente a translúcida</x:v>
      </x:c>
      <x:c r="P16" s="12" t="str"/>
      <x:c r="Q16" s="12" t="str">
        <x:v>Não avaliado / não informado</x:v>
      </x:c>
      <x:c r="R16" s="12" t="str">
        <x:v>Não</x:v>
      </x:c>
      <x:c r="S16" s="12" t="str"/>
      <x:c r="T16" s="12" t="str"/>
      <x:c r="U16" s="20"/>
      <x:c r="V16" s="20"/>
      <x:c r="W16" s="20"/>
      <x:c r="X16" s="20"/>
      <x:c r="Y16" s="20"/>
      <x:c r="Z16" s="20"/>
      <x:c r="AA16" s="20"/>
      <x:c r="AB16" s="12" t="str">
        <x:v>Pendente de precificação individual</x:v>
      </x:c>
      <x:c r="AC16" s="16" t="n">
        <x:v>8</x:v>
      </x:c>
      <x:c r="AD16" s="12" t="str">
        <x:v>A</x:v>
      </x:c>
      <x:c r="AE16" s="12" t="str">
        <x:v>A definir</x:v>
      </x:c>
      <x:c r="AF16" s="12" t="str">
        <x:v>Anel masculino / pingente vintage</x:v>
      </x:c>
      <x:c r="AG16" s="12" t="str">
        <x:v>Anel masculino / pingente vintage</x:v>
      </x:c>
      <x:c r="AH16" s="12" t="str">
        <x:v>Coleção</x:v>
      </x:c>
      <x:c r="AI16" s="12" t="str"/>
      <x:c r="AJ16" s="12" t="str"/>
      <x:c r="AK16" s="12" t="str"/>
      <x:c r="AL16" s="12" t="str"/>
      <x:c r="AM16" s="12" t="str">
        <x:v>Não informado</x:v>
      </x:c>
      <x:c r="AN16" s="12" t="str"/>
      <x:c r="AO16" s="12" t="str">
        <x:v>2026-07-01</x:v>
      </x:c>
      <x:c r="AP16" s="12" t="str">
        <x:v>2026-07-19</x:v>
      </x:c>
      <x:c r="AQ16" s="12" t="str">
        <x:v>Alta</x:v>
      </x:c>
      <x:c r="AR16" s="12" t="str">
        <x:v>Inventário mestre completo atualizado em 2026-07-01</x:v>
      </x:c>
      <x:c r="AS16" s="12" t="str">
        <x:v>Precificação individual pendente</x:v>
      </x:c>
      <x:c r="AT16" s="12" t="str">
        <x:v>Avaliação visual; tratamentos não avaliados; confirmar naturalidade/tratamento em laboratório.</x:v>
      </x:c>
    </x:row>
    <x:row r="17">
      <x:c r="A17" s="12" t="str">
        <x:v>DG-EM-016</x:v>
      </x:c>
      <x:c r="B17" s="12" t="str"/>
      <x:c r="C17" s="12" t="str">
        <x:v>Emerald Collection</x:v>
      </x:c>
      <x:c r="D17" s="12" t="str">
        <x:v>Esmeraldas</x:v>
      </x:c>
      <x:c r="E17" s="12" t="str">
        <x:v>Berilo</x:v>
      </x:c>
      <x:c r="F17" s="12" t="str">
        <x:v>Esmeralda</x:v>
      </x:c>
      <x:c r="G17" s="12" t="str">
        <x:v>Gema individual</x:v>
      </x:c>
      <x:c r="H17" s="18" t="n">
        <x:v>1</x:v>
      </x:c>
      <x:c r="I17" s="12" t="str">
        <x:v>Octogonal / Emerald Cut</x:v>
      </x:c>
      <x:c r="J17" s="12" t="str">
        <x:v>7 x 7 x 2-3</x:v>
      </x:c>
      <x:c r="K17" s="14" t="n">
        <x:v>2.815</x:v>
      </x:c>
      <x:c r="L17" s="12" t="str">
        <x:v>Sim</x:v>
      </x:c>
      <x:c r="M17" s="12" t="str">
        <x:v>Balança / informado</x:v>
      </x:c>
      <x:c r="N17" s="12" t="str">
        <x:v>Verde médio-intenso</x:v>
      </x:c>
      <x:c r="O17" s="12" t="str">
        <x:v>Semi-transparente a translúcida</x:v>
      </x:c>
      <x:c r="P17" s="12" t="str"/>
      <x:c r="Q17" s="12" t="str">
        <x:v>Não avaliado / não informado</x:v>
      </x:c>
      <x:c r="R17" s="12" t="str">
        <x:v>Não</x:v>
      </x:c>
      <x:c r="S17" s="12" t="str"/>
      <x:c r="T17" s="12" t="str"/>
      <x:c r="U17" s="20"/>
      <x:c r="V17" s="20"/>
      <x:c r="W17" s="20"/>
      <x:c r="X17" s="20"/>
      <x:c r="Y17" s="20"/>
      <x:c r="Z17" s="20"/>
      <x:c r="AA17" s="20"/>
      <x:c r="AB17" s="12" t="str">
        <x:v>Pendente de precificação individual</x:v>
      </x:c>
      <x:c r="AC17" s="16" t="n">
        <x:v>8.1</x:v>
      </x:c>
      <x:c r="AD17" s="12" t="str">
        <x:v>A</x:v>
      </x:c>
      <x:c r="AE17" s="12" t="str">
        <x:v>A definir</x:v>
      </x:c>
      <x:c r="AF17" s="12" t="str">
        <x:v>Anel delicado / brincos</x:v>
      </x:c>
      <x:c r="AG17" s="12" t="str">
        <x:v>Anel delicado / brincos</x:v>
      </x:c>
      <x:c r="AH17" s="12" t="str">
        <x:v>Coleção</x:v>
      </x:c>
      <x:c r="AI17" s="12" t="str"/>
      <x:c r="AJ17" s="12" t="str"/>
      <x:c r="AK17" s="12" t="str"/>
      <x:c r="AL17" s="12" t="str"/>
      <x:c r="AM17" s="12" t="str">
        <x:v>Não informado</x:v>
      </x:c>
      <x:c r="AN17" s="12" t="str"/>
      <x:c r="AO17" s="12" t="str">
        <x:v>2026-07-01</x:v>
      </x:c>
      <x:c r="AP17" s="12" t="str">
        <x:v>2026-07-19</x:v>
      </x:c>
      <x:c r="AQ17" s="12" t="str">
        <x:v>Alta</x:v>
      </x:c>
      <x:c r="AR17" s="12" t="str">
        <x:v>Inventário mestre completo atualizado em 2026-07-01</x:v>
      </x:c>
      <x:c r="AS17" s="12" t="str">
        <x:v>Precificação individual pendente</x:v>
      </x:c>
      <x:c r="AT17" s="12" t="str">
        <x:v>Avaliação visual; tratamentos não avaliados; confirmar naturalidade/tratamento em laboratório.</x:v>
      </x:c>
    </x:row>
    <x:row r="18">
      <x:c r="A18" s="12" t="str">
        <x:v>DG-EM-017</x:v>
      </x:c>
      <x:c r="B18" s="12" t="str"/>
      <x:c r="C18" s="12" t="str">
        <x:v>Emerald Collection</x:v>
      </x:c>
      <x:c r="D18" s="12" t="str">
        <x:v>Esmeraldas</x:v>
      </x:c>
      <x:c r="E18" s="12" t="str">
        <x:v>Berilo</x:v>
      </x:c>
      <x:c r="F18" s="12" t="str">
        <x:v>Esmeralda</x:v>
      </x:c>
      <x:c r="G18" s="12" t="str">
        <x:v>Gema individual</x:v>
      </x:c>
      <x:c r="H18" s="18" t="n">
        <x:v>1</x:v>
      </x:c>
      <x:c r="I18" s="12" t="str">
        <x:v>Retangular Octogonal / Emerald Cut</x:v>
      </x:c>
      <x:c r="J18" s="12" t="str">
        <x:v>8 x 7 x 2</x:v>
      </x:c>
      <x:c r="K18" s="14" t="n">
        <x:v>1.87</x:v>
      </x:c>
      <x:c r="L18" s="12" t="str">
        <x:v>Sim</x:v>
      </x:c>
      <x:c r="M18" s="12" t="str">
        <x:v>Balança / informado</x:v>
      </x:c>
      <x:c r="N18" s="12" t="str">
        <x:v>Verde médio-intenso</x:v>
      </x:c>
      <x:c r="O18" s="12" t="str">
        <x:v>Semi-transparente a translúcida</x:v>
      </x:c>
      <x:c r="P18" s="12" t="str"/>
      <x:c r="Q18" s="12" t="str">
        <x:v>Não avaliado / não informado</x:v>
      </x:c>
      <x:c r="R18" s="12" t="str">
        <x:v>Não</x:v>
      </x:c>
      <x:c r="S18" s="12" t="str"/>
      <x:c r="T18" s="12" t="str"/>
      <x:c r="U18" s="20"/>
      <x:c r="V18" s="20"/>
      <x:c r="W18" s="20"/>
      <x:c r="X18" s="20"/>
      <x:c r="Y18" s="20"/>
      <x:c r="Z18" s="20"/>
      <x:c r="AA18" s="20"/>
      <x:c r="AB18" s="12" t="str">
        <x:v>Pendente de precificação individual</x:v>
      </x:c>
      <x:c r="AC18" s="16" t="n">
        <x:v>8.3</x:v>
      </x:c>
      <x:c r="AD18" s="12" t="str">
        <x:v>A</x:v>
      </x:c>
      <x:c r="AE18" s="12" t="str">
        <x:v>A definir</x:v>
      </x:c>
      <x:c r="AF18" s="12" t="str">
        <x:v>Anel solitário delicado / brinco</x:v>
      </x:c>
      <x:c r="AG18" s="12" t="str">
        <x:v>Anel solitário delicado / brinco</x:v>
      </x:c>
      <x:c r="AH18" s="12" t="str">
        <x:v>Coleção</x:v>
      </x:c>
      <x:c r="AI18" s="12" t="str"/>
      <x:c r="AJ18" s="12" t="str"/>
      <x:c r="AK18" s="12" t="str"/>
      <x:c r="AL18" s="12" t="str"/>
      <x:c r="AM18" s="12" t="str">
        <x:v>Não informado</x:v>
      </x:c>
      <x:c r="AN18" s="12" t="str"/>
      <x:c r="AO18" s="12" t="str">
        <x:v>2026-07-01</x:v>
      </x:c>
      <x:c r="AP18" s="12" t="str">
        <x:v>2026-07-19</x:v>
      </x:c>
      <x:c r="AQ18" s="12" t="str">
        <x:v>Alta</x:v>
      </x:c>
      <x:c r="AR18" s="12" t="str">
        <x:v>Inventário mestre completo atualizado em 2026-07-01</x:v>
      </x:c>
      <x:c r="AS18" s="12" t="str">
        <x:v>Precificação individual pendente</x:v>
      </x:c>
      <x:c r="AT18" s="12" t="str">
        <x:v>Avaliação visual; tratamentos não avaliados; confirmar naturalidade/tratamento em laboratório.</x:v>
      </x:c>
    </x:row>
    <x:row r="19">
      <x:c r="A19" s="12" t="str">
        <x:v>DG-EM-018</x:v>
      </x:c>
      <x:c r="B19" s="12" t="str"/>
      <x:c r="C19" s="12" t="str">
        <x:v>Emerald Collection</x:v>
      </x:c>
      <x:c r="D19" s="12" t="str">
        <x:v>Esmeraldas</x:v>
      </x:c>
      <x:c r="E19" s="12" t="str">
        <x:v>Berilo</x:v>
      </x:c>
      <x:c r="F19" s="12" t="str">
        <x:v>Esmeralda</x:v>
      </x:c>
      <x:c r="G19" s="12" t="str">
        <x:v>Gema individual</x:v>
      </x:c>
      <x:c r="H19" s="18" t="n">
        <x:v>1</x:v>
      </x:c>
      <x:c r="I19" s="12" t="str">
        <x:v>Oval</x:v>
      </x:c>
      <x:c r="J19" s="12" t="str">
        <x:v>10 x 6 x 3</x:v>
      </x:c>
      <x:c r="K19" s="14" t="n">
        <x:v>1.83</x:v>
      </x:c>
      <x:c r="L19" s="12" t="str">
        <x:v>Sim</x:v>
      </x:c>
      <x:c r="M19" s="12" t="str">
        <x:v>Balança / informado</x:v>
      </x:c>
      <x:c r="N19" s="12" t="str">
        <x:v>Verde vivo</x:v>
      </x:c>
      <x:c r="O19" s="12" t="str">
        <x:v>Semi-transparente a translúcida</x:v>
      </x:c>
      <x:c r="P19" s="12" t="str"/>
      <x:c r="Q19" s="12" t="str">
        <x:v>Não avaliado / não informado</x:v>
      </x:c>
      <x:c r="R19" s="12" t="str">
        <x:v>Não</x:v>
      </x:c>
      <x:c r="S19" s="12" t="str"/>
      <x:c r="T19" s="12" t="str"/>
      <x:c r="U19" s="20"/>
      <x:c r="V19" s="20"/>
      <x:c r="W19" s="20"/>
      <x:c r="X19" s="20"/>
      <x:c r="Y19" s="20"/>
      <x:c r="Z19" s="20"/>
      <x:c r="AA19" s="20"/>
      <x:c r="AB19" s="12" t="str">
        <x:v>Pendente de precificação individual</x:v>
      </x:c>
      <x:c r="AC19" s="16" t="n">
        <x:v>8.5</x:v>
      </x:c>
      <x:c r="AD19" s="12" t="str">
        <x:v>A</x:v>
      </x:c>
      <x:c r="AE19" s="12" t="str">
        <x:v>A definir</x:v>
      </x:c>
      <x:c r="AF19" s="12" t="str">
        <x:v>Anel solitário / pingente clássico</x:v>
      </x:c>
      <x:c r="AG19" s="12" t="str">
        <x:v>Anel solitário / pingente clássico</x:v>
      </x:c>
      <x:c r="AH19" s="12" t="str">
        <x:v>Coleção</x:v>
      </x:c>
      <x:c r="AI19" s="12" t="str"/>
      <x:c r="AJ19" s="12" t="str"/>
      <x:c r="AK19" s="12" t="str"/>
      <x:c r="AL19" s="12" t="str"/>
      <x:c r="AM19" s="12" t="str">
        <x:v>Não informado</x:v>
      </x:c>
      <x:c r="AN19" s="12" t="str"/>
      <x:c r="AO19" s="12" t="str">
        <x:v>2026-07-01</x:v>
      </x:c>
      <x:c r="AP19" s="12" t="str">
        <x:v>2026-07-19</x:v>
      </x:c>
      <x:c r="AQ19" s="12" t="str">
        <x:v>Alta</x:v>
      </x:c>
      <x:c r="AR19" s="12" t="str">
        <x:v>Inventário mestre completo atualizado em 2026-07-01</x:v>
      </x:c>
      <x:c r="AS19" s="12" t="str">
        <x:v>Precificação individual pendente</x:v>
      </x:c>
      <x:c r="AT19" s="12" t="str">
        <x:v>Avaliação visual; tratamentos não avaliados; confirmar naturalidade/tratamento em laboratório.</x:v>
      </x:c>
    </x:row>
    <x:row r="20">
      <x:c r="A20" s="12" t="str">
        <x:v>DG-EM-019</x:v>
      </x:c>
      <x:c r="B20" s="12" t="str"/>
      <x:c r="C20" s="12" t="str">
        <x:v>Emerald Collection</x:v>
      </x:c>
      <x:c r="D20" s="12" t="str">
        <x:v>Esmeraldas</x:v>
      </x:c>
      <x:c r="E20" s="12" t="str">
        <x:v>Berilo</x:v>
      </x:c>
      <x:c r="F20" s="12" t="str">
        <x:v>Esmeralda</x:v>
      </x:c>
      <x:c r="G20" s="12" t="str">
        <x:v>Lote</x:v>
      </x:c>
      <x:c r="H20" s="18" t="n">
        <x:v>13</x:v>
      </x:c>
      <x:c r="I20" s="12" t="str">
        <x:v>Formatos variados / melee</x:v>
      </x:c>
      <x:c r="J20" s="12" t="str">
        <x:v>2 a 6 mm variados</x:v>
      </x:c>
      <x:c r="K20" s="14" t="n">
        <x:v>4.56</x:v>
      </x:c>
      <x:c r="L20" s="12" t="str">
        <x:v>Sim</x:v>
      </x:c>
      <x:c r="M20" s="12" t="str">
        <x:v>Balança / informado</x:v>
      </x:c>
      <x:c r="N20" s="12" t="str">
        <x:v>Verdes variados</x:v>
      </x:c>
      <x:c r="O20" s="12" t="str">
        <x:v>Semi-transparente a translúcida</x:v>
      </x:c>
      <x:c r="P20" s="12" t="str"/>
      <x:c r="Q20" s="12" t="str">
        <x:v>Não avaliado / não informado</x:v>
      </x:c>
      <x:c r="R20" s="12" t="str">
        <x:v>Não</x:v>
      </x:c>
      <x:c r="S20" s="12" t="str"/>
      <x:c r="T20" s="12" t="str"/>
      <x:c r="U20" s="20"/>
      <x:c r="V20" s="20"/>
      <x:c r="W20" s="20"/>
      <x:c r="X20" s="20"/>
      <x:c r="Y20" s="20"/>
      <x:c r="Z20" s="20"/>
      <x:c r="AA20" s="20"/>
      <x:c r="AB20" s="12" t="str">
        <x:v>Pendente de precificação individual</x:v>
      </x:c>
      <x:c r="AC20" s="16" t="n">
        <x:v>8.1</x:v>
      </x:c>
      <x:c r="AD20" s="12" t="str">
        <x:v>A-</x:v>
      </x:c>
      <x:c r="AE20" s="12" t="str">
        <x:v>A definir</x:v>
      </x:c>
      <x:c r="AF20" s="12" t="str">
        <x:v>Halo, pavê, riviera, crucifixos</x:v>
      </x:c>
      <x:c r="AG20" s="12" t="str">
        <x:v>Halo, pavê, riviera, crucifixos</x:v>
      </x:c>
      <x:c r="AH20" s="12" t="str">
        <x:v>Coleção</x:v>
      </x:c>
      <x:c r="AI20" s="12" t="str"/>
      <x:c r="AJ20" s="12" t="str"/>
      <x:c r="AK20" s="12" t="str"/>
      <x:c r="AL20" s="12" t="str"/>
      <x:c r="AM20" s="12" t="str">
        <x:v>Não informado</x:v>
      </x:c>
      <x:c r="AN20" s="12" t="str"/>
      <x:c r="AO20" s="12" t="str">
        <x:v>2026-07-01</x:v>
      </x:c>
      <x:c r="AP20" s="12" t="str">
        <x:v>2026-07-19</x:v>
      </x:c>
      <x:c r="AQ20" s="12" t="str">
        <x:v>Alta</x:v>
      </x:c>
      <x:c r="AR20" s="12" t="str">
        <x:v>Inventário mestre completo atualizado em 2026-07-01</x:v>
      </x:c>
      <x:c r="AS20" s="12" t="str">
        <x:v>Precificação individual pendente</x:v>
      </x:c>
      <x:c r="AT20" s="12" t="str">
        <x:v>Avaliação visual; tratamentos não avaliados; confirmar naturalidade/tratamento em laboratório. Lote de 13 pedras; peso médio 0,351 ct.</x:v>
      </x:c>
    </x:row>
    <x:row r="21">
      <x:c r="A21" s="12" t="str">
        <x:v>DG-EM-020</x:v>
      </x:c>
      <x:c r="B21" s="12" t="str"/>
      <x:c r="C21" s="12" t="str">
        <x:v>Emerald Collection</x:v>
      </x:c>
      <x:c r="D21" s="12" t="str">
        <x:v>Esmeraldas</x:v>
      </x:c>
      <x:c r="E21" s="12" t="str">
        <x:v>Berilo</x:v>
      </x:c>
      <x:c r="F21" s="12" t="str">
        <x:v>Esmeralda</x:v>
      </x:c>
      <x:c r="G21" s="12" t="str">
        <x:v>Gema individual</x:v>
      </x:c>
      <x:c r="H21" s="18" t="n">
        <x:v>1</x:v>
      </x:c>
      <x:c r="I21" s="12" t="str">
        <x:v>Oval</x:v>
      </x:c>
      <x:c r="J21" s="12" t="str">
        <x:v>9 x 6 x 4</x:v>
      </x:c>
      <x:c r="K21" s="14" t="n">
        <x:v>1.54</x:v>
      </x:c>
      <x:c r="L21" s="12" t="str">
        <x:v>Sim</x:v>
      </x:c>
      <x:c r="M21" s="12" t="str">
        <x:v>Balança / informado</x:v>
      </x:c>
      <x:c r="N21" s="12" t="str">
        <x:v>Verde médio a intenso</x:v>
      </x:c>
      <x:c r="O21" s="12" t="str">
        <x:v>Semi-transparente a translúcida</x:v>
      </x:c>
      <x:c r="P21" s="12" t="str"/>
      <x:c r="Q21" s="12" t="str">
        <x:v>Não avaliado / não informado</x:v>
      </x:c>
      <x:c r="R21" s="12" t="str">
        <x:v>Não</x:v>
      </x:c>
      <x:c r="S21" s="12" t="str"/>
      <x:c r="T21" s="12" t="str"/>
      <x:c r="U21" s="20"/>
      <x:c r="V21" s="20"/>
      <x:c r="W21" s="20"/>
      <x:c r="X21" s="20"/>
      <x:c r="Y21" s="20"/>
      <x:c r="Z21" s="20"/>
      <x:c r="AA21" s="20"/>
      <x:c r="AB21" s="12" t="str">
        <x:v>Pendente de precificação individual</x:v>
      </x:c>
      <x:c r="AC21" s="16" t="n">
        <x:v>8.2</x:v>
      </x:c>
      <x:c r="AD21" s="12" t="str">
        <x:v>A</x:v>
      </x:c>
      <x:c r="AE21" s="12" t="str">
        <x:v>A definir</x:v>
      </x:c>
      <x:c r="AF21" s="12" t="str">
        <x:v>Anel solitário / pingente delicado</x:v>
      </x:c>
      <x:c r="AG21" s="12" t="str">
        <x:v>Anel solitário / pingente delicado</x:v>
      </x:c>
      <x:c r="AH21" s="12" t="str">
        <x:v>Coleção</x:v>
      </x:c>
      <x:c r="AI21" s="12" t="str"/>
      <x:c r="AJ21" s="12" t="str"/>
      <x:c r="AK21" s="12" t="str"/>
      <x:c r="AL21" s="12" t="str"/>
      <x:c r="AM21" s="12" t="str">
        <x:v>Não informado</x:v>
      </x:c>
      <x:c r="AN21" s="12" t="str"/>
      <x:c r="AO21" s="12" t="str">
        <x:v>2026-07-01</x:v>
      </x:c>
      <x:c r="AP21" s="12" t="str">
        <x:v>2026-07-19</x:v>
      </x:c>
      <x:c r="AQ21" s="12" t="str">
        <x:v>Alta</x:v>
      </x:c>
      <x:c r="AR21" s="12" t="str">
        <x:v>Inventário mestre completo atualizado em 2026-07-01</x:v>
      </x:c>
      <x:c r="AS21" s="12" t="str">
        <x:v>Precificação individual pendente</x:v>
      </x:c>
      <x:c r="AT21" s="12" t="str">
        <x:v>Avaliação visual; tratamentos não avaliados; confirmar naturalidade/tratamento em laboratório.</x:v>
      </x:c>
    </x:row>
    <x:row r="22">
      <x:c r="A22" s="12" t="str">
        <x:v>DG-EM-021</x:v>
      </x:c>
      <x:c r="B22" s="12" t="str"/>
      <x:c r="C22" s="12" t="str">
        <x:v>Emerald Collection</x:v>
      </x:c>
      <x:c r="D22" s="12" t="str">
        <x:v>Esmeraldas</x:v>
      </x:c>
      <x:c r="E22" s="12" t="str">
        <x:v>Berilo</x:v>
      </x:c>
      <x:c r="F22" s="12" t="str">
        <x:v>Esmeralda</x:v>
      </x:c>
      <x:c r="G22" s="12" t="str">
        <x:v>Gema individual</x:v>
      </x:c>
      <x:c r="H22" s="18" t="n">
        <x:v>1</x:v>
      </x:c>
      <x:c r="I22" s="12" t="str">
        <x:v>Gota</x:v>
      </x:c>
      <x:c r="J22" s="12" t="str">
        <x:v>10 x 6 x 4</x:v>
      </x:c>
      <x:c r="K22" s="14" t="n">
        <x:v>1.765</x:v>
      </x:c>
      <x:c r="L22" s="12" t="str">
        <x:v>Sim</x:v>
      </x:c>
      <x:c r="M22" s="12" t="str">
        <x:v>Balança / informado</x:v>
      </x:c>
      <x:c r="N22" s="12" t="str">
        <x:v>Verde médio</x:v>
      </x:c>
      <x:c r="O22" s="12" t="str">
        <x:v>Semi-transparente a translúcida</x:v>
      </x:c>
      <x:c r="P22" s="12" t="str"/>
      <x:c r="Q22" s="12" t="str">
        <x:v>Não avaliado / não informado</x:v>
      </x:c>
      <x:c r="R22" s="12" t="str">
        <x:v>Não</x:v>
      </x:c>
      <x:c r="S22" s="12" t="str"/>
      <x:c r="T22" s="12" t="str"/>
      <x:c r="U22" s="20"/>
      <x:c r="V22" s="20"/>
      <x:c r="W22" s="20"/>
      <x:c r="X22" s="20"/>
      <x:c r="Y22" s="20"/>
      <x:c r="Z22" s="20"/>
      <x:c r="AA22" s="20"/>
      <x:c r="AB22" s="12" t="str">
        <x:v>Pendente de precificação individual</x:v>
      </x:c>
      <x:c r="AC22" s="16" t="n">
        <x:v>8.3</x:v>
      </x:c>
      <x:c r="AD22" s="12" t="str">
        <x:v>A</x:v>
      </x:c>
      <x:c r="AE22" s="12" t="str">
        <x:v>A definir</x:v>
      </x:c>
      <x:c r="AF22" s="12" t="str">
        <x:v>Pingente solitário / anel feminino</x:v>
      </x:c>
      <x:c r="AG22" s="12" t="str">
        <x:v>Pingente solitário / anel feminino</x:v>
      </x:c>
      <x:c r="AH22" s="12" t="str">
        <x:v>Coleção</x:v>
      </x:c>
      <x:c r="AI22" s="12" t="str"/>
      <x:c r="AJ22" s="12" t="str"/>
      <x:c r="AK22" s="12" t="str"/>
      <x:c r="AL22" s="12" t="str"/>
      <x:c r="AM22" s="12" t="str">
        <x:v>Não informado</x:v>
      </x:c>
      <x:c r="AN22" s="12" t="str"/>
      <x:c r="AO22" s="12" t="str">
        <x:v>2026-07-01</x:v>
      </x:c>
      <x:c r="AP22" s="12" t="str">
        <x:v>2026-07-19</x:v>
      </x:c>
      <x:c r="AQ22" s="12" t="str">
        <x:v>Alta</x:v>
      </x:c>
      <x:c r="AR22" s="12" t="str">
        <x:v>Inventário mestre completo atualizado em 2026-07-01</x:v>
      </x:c>
      <x:c r="AS22" s="12" t="str">
        <x:v>Precificação individual pendente</x:v>
      </x:c>
      <x:c r="AT22" s="12" t="str">
        <x:v>Avaliação visual; tratamentos não avaliados; confirmar naturalidade/tratamento em laboratório.</x:v>
      </x:c>
    </x:row>
    <x:row r="23">
      <x:c r="A23" s="12" t="str">
        <x:v>DG-EM-022</x:v>
      </x:c>
      <x:c r="B23" s="12" t="str"/>
      <x:c r="C23" s="12" t="str">
        <x:v>Emerald Collection</x:v>
      </x:c>
      <x:c r="D23" s="12" t="str">
        <x:v>Esmeraldas</x:v>
      </x:c>
      <x:c r="E23" s="12" t="str">
        <x:v>Berilo</x:v>
      </x:c>
      <x:c r="F23" s="12" t="str">
        <x:v>Esmeralda</x:v>
      </x:c>
      <x:c r="G23" s="12" t="str">
        <x:v>Gema individual</x:v>
      </x:c>
      <x:c r="H23" s="18" t="n">
        <x:v>1</x:v>
      </x:c>
      <x:c r="I23" s="12" t="str">
        <x:v>Gota</x:v>
      </x:c>
      <x:c r="J23" s="12" t="str">
        <x:v>9 x 6 x 4</x:v>
      </x:c>
      <x:c r="K23" s="14" t="n">
        <x:v>1.805</x:v>
      </x:c>
      <x:c r="L23" s="12" t="str">
        <x:v>Sim</x:v>
      </x:c>
      <x:c r="M23" s="12" t="str">
        <x:v>Balança / informado</x:v>
      </x:c>
      <x:c r="N23" s="12" t="str">
        <x:v>Verde médio a intenso</x:v>
      </x:c>
      <x:c r="O23" s="12" t="str">
        <x:v>Semi-transparente a translúcida</x:v>
      </x:c>
      <x:c r="P23" s="12" t="str"/>
      <x:c r="Q23" s="12" t="str">
        <x:v>Não avaliado / não informado</x:v>
      </x:c>
      <x:c r="R23" s="12" t="str">
        <x:v>Não</x:v>
      </x:c>
      <x:c r="S23" s="12" t="str"/>
      <x:c r="T23" s="12" t="str"/>
      <x:c r="U23" s="20"/>
      <x:c r="V23" s="20"/>
      <x:c r="W23" s="20"/>
      <x:c r="X23" s="20"/>
      <x:c r="Y23" s="20"/>
      <x:c r="Z23" s="20"/>
      <x:c r="AA23" s="20"/>
      <x:c r="AB23" s="12" t="str">
        <x:v>Pendente de precificação individual</x:v>
      </x:c>
      <x:c r="AC23" s="16" t="n">
        <x:v>8.6</x:v>
      </x:c>
      <x:c r="AD23" s="12" t="str">
        <x:v>A</x:v>
      </x:c>
      <x:c r="AE23" s="12" t="str">
        <x:v>A definir</x:v>
      </x:c>
      <x:c r="AF23" s="12" t="str">
        <x:v>Pingente solitário premium / anel</x:v>
      </x:c>
      <x:c r="AG23" s="12" t="str">
        <x:v>Pingente solitário premium / anel</x:v>
      </x:c>
      <x:c r="AH23" s="12" t="str">
        <x:v>Coleção</x:v>
      </x:c>
      <x:c r="AI23" s="12" t="str"/>
      <x:c r="AJ23" s="12" t="str"/>
      <x:c r="AK23" s="12" t="str"/>
      <x:c r="AL23" s="12" t="str"/>
      <x:c r="AM23" s="12" t="str">
        <x:v>Não informado</x:v>
      </x:c>
      <x:c r="AN23" s="12" t="str"/>
      <x:c r="AO23" s="12" t="str">
        <x:v>2026-07-01</x:v>
      </x:c>
      <x:c r="AP23" s="12" t="str">
        <x:v>2026-07-19</x:v>
      </x:c>
      <x:c r="AQ23" s="12" t="str">
        <x:v>Alta</x:v>
      </x:c>
      <x:c r="AR23" s="12" t="str">
        <x:v>Inventário mestre completo atualizado em 2026-07-01</x:v>
      </x:c>
      <x:c r="AS23" s="12" t="str">
        <x:v>Precificação individual pendente</x:v>
      </x:c>
      <x:c r="AT23" s="12" t="str">
        <x:v>Avaliação visual; tratamentos não avaliados; confirmar naturalidade/tratamento em laboratório.</x:v>
      </x:c>
    </x:row>
    <x:row r="24">
      <x:c r="A24" s="12" t="str">
        <x:v>DG-EM-023</x:v>
      </x:c>
      <x:c r="B24" s="12" t="str"/>
      <x:c r="C24" s="12" t="str">
        <x:v>Emerald Collection</x:v>
      </x:c>
      <x:c r="D24" s="12" t="str">
        <x:v>Esmeraldas</x:v>
      </x:c>
      <x:c r="E24" s="12" t="str">
        <x:v>Berilo</x:v>
      </x:c>
      <x:c r="F24" s="12" t="str">
        <x:v>Esmeralda</x:v>
      </x:c>
      <x:c r="G24" s="12" t="str">
        <x:v>Gema individual</x:v>
      </x:c>
      <x:c r="H24" s="18" t="n">
        <x:v>1</x:v>
      </x:c>
      <x:c r="I24" s="12" t="str">
        <x:v>Oval</x:v>
      </x:c>
      <x:c r="J24" s="12" t="str">
        <x:v>10 x 7 x 4</x:v>
      </x:c>
      <x:c r="K24" s="14" t="n">
        <x:v>2.27</x:v>
      </x:c>
      <x:c r="L24" s="12" t="str">
        <x:v>Sim</x:v>
      </x:c>
      <x:c r="M24" s="12" t="str">
        <x:v>Balança / informado</x:v>
      </x:c>
      <x:c r="N24" s="12" t="str">
        <x:v>Verde médio a intenso</x:v>
      </x:c>
      <x:c r="O24" s="12" t="str">
        <x:v>Semi-transparente a translúcida</x:v>
      </x:c>
      <x:c r="P24" s="12" t="str"/>
      <x:c r="Q24" s="12" t="str">
        <x:v>Não avaliado / não informado</x:v>
      </x:c>
      <x:c r="R24" s="12" t="str">
        <x:v>Não</x:v>
      </x:c>
      <x:c r="S24" s="12" t="str"/>
      <x:c r="T24" s="12" t="str"/>
      <x:c r="U24" s="20"/>
      <x:c r="V24" s="20"/>
      <x:c r="W24" s="20"/>
      <x:c r="X24" s="20"/>
      <x:c r="Y24" s="20"/>
      <x:c r="Z24" s="20"/>
      <x:c r="AA24" s="20"/>
      <x:c r="AB24" s="12" t="str">
        <x:v>Pendente de precificação individual</x:v>
      </x:c>
      <x:c r="AC24" s="16" t="n">
        <x:v>8.4</x:v>
      </x:c>
      <x:c r="AD24" s="12" t="str">
        <x:v>A</x:v>
      </x:c>
      <x:c r="AE24" s="12" t="str">
        <x:v>A definir</x:v>
      </x:c>
      <x:c r="AF24" s="12" t="str">
        <x:v>Anel solitário / pingente clássico</x:v>
      </x:c>
      <x:c r="AG24" s="12" t="str">
        <x:v>Anel solitário / pingente clássico</x:v>
      </x:c>
      <x:c r="AH24" s="12" t="str">
        <x:v>Coleção</x:v>
      </x:c>
      <x:c r="AI24" s="12" t="str"/>
      <x:c r="AJ24" s="12" t="str"/>
      <x:c r="AK24" s="12" t="str"/>
      <x:c r="AL24" s="12" t="str"/>
      <x:c r="AM24" s="12" t="str">
        <x:v>Não informado</x:v>
      </x:c>
      <x:c r="AN24" s="12" t="str"/>
      <x:c r="AO24" s="12" t="str">
        <x:v>2026-07-01</x:v>
      </x:c>
      <x:c r="AP24" s="12" t="str">
        <x:v>2026-07-19</x:v>
      </x:c>
      <x:c r="AQ24" s="12" t="str">
        <x:v>Alta</x:v>
      </x:c>
      <x:c r="AR24" s="12" t="str">
        <x:v>Inventário mestre completo atualizado em 2026-07-01</x:v>
      </x:c>
      <x:c r="AS24" s="12" t="str">
        <x:v>Precificação individual pendente</x:v>
      </x:c>
      <x:c r="AT24" s="12" t="str">
        <x:v>Avaliação visual; tratamentos não avaliados; confirmar naturalidade/tratamento em laboratório.</x:v>
      </x:c>
    </x:row>
    <x:row r="25">
      <x:c r="A25" s="12" t="str">
        <x:v>DG-EM-024</x:v>
      </x:c>
      <x:c r="B25" s="12" t="str"/>
      <x:c r="C25" s="12" t="str">
        <x:v>Emerald Collection</x:v>
      </x:c>
      <x:c r="D25" s="12" t="str">
        <x:v>Esmeraldas</x:v>
      </x:c>
      <x:c r="E25" s="12" t="str">
        <x:v>Berilo</x:v>
      </x:c>
      <x:c r="F25" s="12" t="str">
        <x:v>Esmeralda</x:v>
      </x:c>
      <x:c r="G25" s="12" t="str">
        <x:v>Gema individual</x:v>
      </x:c>
      <x:c r="H25" s="18" t="n">
        <x:v>1</x:v>
      </x:c>
      <x:c r="I25" s="12" t="str">
        <x:v>Octogonal / Emerald Cut</x:v>
      </x:c>
      <x:c r="J25" s="12" t="str">
        <x:v>8 x 8 x 4</x:v>
      </x:c>
      <x:c r="K25" s="14" t="n">
        <x:v>2.845</x:v>
      </x:c>
      <x:c r="L25" s="12" t="str">
        <x:v>Sim</x:v>
      </x:c>
      <x:c r="M25" s="12" t="str">
        <x:v>Balança / informado</x:v>
      </x:c>
      <x:c r="N25" s="12" t="str">
        <x:v>Verde médio levemente azulado</x:v>
      </x:c>
      <x:c r="O25" s="12" t="str">
        <x:v>Semi-transparente a translúcida</x:v>
      </x:c>
      <x:c r="P25" s="12" t="str"/>
      <x:c r="Q25" s="12" t="str">
        <x:v>Não avaliado / não informado</x:v>
      </x:c>
      <x:c r="R25" s="12" t="str">
        <x:v>Não</x:v>
      </x:c>
      <x:c r="S25" s="12" t="str"/>
      <x:c r="T25" s="12" t="str"/>
      <x:c r="U25" s="20"/>
      <x:c r="V25" s="20"/>
      <x:c r="W25" s="20"/>
      <x:c r="X25" s="20"/>
      <x:c r="Y25" s="20"/>
      <x:c r="Z25" s="20"/>
      <x:c r="AA25" s="20"/>
      <x:c r="AB25" s="12" t="str">
        <x:v>Pendente de precificação individual</x:v>
      </x:c>
      <x:c r="AC25" s="16" t="n">
        <x:v>8.1</x:v>
      </x:c>
      <x:c r="AD25" s="12" t="str">
        <x:v>A-</x:v>
      </x:c>
      <x:c r="AE25" s="12" t="str">
        <x:v>A definir</x:v>
      </x:c>
      <x:c r="AF25" s="12" t="str">
        <x:v>Anel masculino / pingente geométrico</x:v>
      </x:c>
      <x:c r="AG25" s="12" t="str">
        <x:v>Anel masculino / pingente geométrico</x:v>
      </x:c>
      <x:c r="AH25" s="12" t="str">
        <x:v>Coleção</x:v>
      </x:c>
      <x:c r="AI25" s="12" t="str"/>
      <x:c r="AJ25" s="12" t="str"/>
      <x:c r="AK25" s="12" t="str"/>
      <x:c r="AL25" s="12" t="str"/>
      <x:c r="AM25" s="12" t="str">
        <x:v>Não informado</x:v>
      </x:c>
      <x:c r="AN25" s="12" t="str"/>
      <x:c r="AO25" s="12" t="str">
        <x:v>2026-07-01</x:v>
      </x:c>
      <x:c r="AP25" s="12" t="str">
        <x:v>2026-07-19</x:v>
      </x:c>
      <x:c r="AQ25" s="12" t="str">
        <x:v>Alta</x:v>
      </x:c>
      <x:c r="AR25" s="12" t="str">
        <x:v>Inventário mestre completo atualizado em 2026-07-01</x:v>
      </x:c>
      <x:c r="AS25" s="12" t="str">
        <x:v>Precificação individual pendente</x:v>
      </x:c>
      <x:c r="AT25" s="12" t="str">
        <x:v>Avaliação visual; tratamentos não avaliados; confirmar naturalidade/tratamento em laboratório.</x:v>
      </x:c>
    </x:row>
    <x:row r="26">
      <x:c r="A26" s="12" t="str">
        <x:v>DG-EM-025</x:v>
      </x:c>
      <x:c r="B26" s="12" t="str"/>
      <x:c r="C26" s="12" t="str">
        <x:v>Emerald Collection</x:v>
      </x:c>
      <x:c r="D26" s="12" t="str">
        <x:v>Esmeraldas</x:v>
      </x:c>
      <x:c r="E26" s="12" t="str">
        <x:v>Berilo</x:v>
      </x:c>
      <x:c r="F26" s="12" t="str">
        <x:v>Esmeralda</x:v>
      </x:c>
      <x:c r="G26" s="12" t="str">
        <x:v>Gema individual</x:v>
      </x:c>
      <x:c r="H26" s="18" t="n">
        <x:v>1</x:v>
      </x:c>
      <x:c r="I26" s="12" t="str">
        <x:v>Oval</x:v>
      </x:c>
      <x:c r="J26" s="12" t="str">
        <x:v>11 x 7 x 4</x:v>
      </x:c>
      <x:c r="K26" s="14" t="n">
        <x:v>2.47</x:v>
      </x:c>
      <x:c r="L26" s="12" t="str">
        <x:v>Sim</x:v>
      </x:c>
      <x:c r="M26" s="12" t="str">
        <x:v>Balança / informado</x:v>
      </x:c>
      <x:c r="N26" s="12" t="str">
        <x:v>Verde médio azulado</x:v>
      </x:c>
      <x:c r="O26" s="12" t="str">
        <x:v>Semi-transparente a translúcida</x:v>
      </x:c>
      <x:c r="P26" s="12" t="str"/>
      <x:c r="Q26" s="12" t="str">
        <x:v>Não avaliado / não informado</x:v>
      </x:c>
      <x:c r="R26" s="12" t="str">
        <x:v>Não</x:v>
      </x:c>
      <x:c r="S26" s="12" t="str"/>
      <x:c r="T26" s="12" t="str"/>
      <x:c r="U26" s="20"/>
      <x:c r="V26" s="20"/>
      <x:c r="W26" s="20"/>
      <x:c r="X26" s="20"/>
      <x:c r="Y26" s="20"/>
      <x:c r="Z26" s="20"/>
      <x:c r="AA26" s="20"/>
      <x:c r="AB26" s="12" t="str">
        <x:v>Pendente de precificação individual</x:v>
      </x:c>
      <x:c r="AC26" s="16" t="n">
        <x:v>8.4</x:v>
      </x:c>
      <x:c r="AD26" s="12" t="str">
        <x:v>A</x:v>
      </x:c>
      <x:c r="AE26" s="12" t="str">
        <x:v>A definir</x:v>
      </x:c>
      <x:c r="AF26" s="12" t="str">
        <x:v>Anel solitário / pingente</x:v>
      </x:c>
      <x:c r="AG26" s="12" t="str">
        <x:v>Anel solitário / pingente</x:v>
      </x:c>
      <x:c r="AH26" s="12" t="str">
        <x:v>Coleção</x:v>
      </x:c>
      <x:c r="AI26" s="12" t="str"/>
      <x:c r="AJ26" s="12" t="str"/>
      <x:c r="AK26" s="12" t="str"/>
      <x:c r="AL26" s="12" t="str"/>
      <x:c r="AM26" s="12" t="str">
        <x:v>Não informado</x:v>
      </x:c>
      <x:c r="AN26" s="12" t="str"/>
      <x:c r="AO26" s="12" t="str">
        <x:v>2026-07-01</x:v>
      </x:c>
      <x:c r="AP26" s="12" t="str">
        <x:v>2026-07-19</x:v>
      </x:c>
      <x:c r="AQ26" s="12" t="str">
        <x:v>Alta</x:v>
      </x:c>
      <x:c r="AR26" s="12" t="str">
        <x:v>Inventário mestre completo atualizado em 2026-07-01</x:v>
      </x:c>
      <x:c r="AS26" s="12" t="str">
        <x:v>Precificação individual pendente</x:v>
      </x:c>
      <x:c r="AT26" s="12" t="str">
        <x:v>Avaliação visual; tratamentos não avaliados; confirmar naturalidade/tratamento em laboratório.</x:v>
      </x:c>
    </x:row>
    <x:row r="27">
      <x:c r="A27" s="12" t="str">
        <x:v>DG-EM-026</x:v>
      </x:c>
      <x:c r="B27" s="12" t="str"/>
      <x:c r="C27" s="12" t="str">
        <x:v>Emerald Collection</x:v>
      </x:c>
      <x:c r="D27" s="12" t="str">
        <x:v>Esmeraldas</x:v>
      </x:c>
      <x:c r="E27" s="12" t="str">
        <x:v>Berilo</x:v>
      </x:c>
      <x:c r="F27" s="12" t="str">
        <x:v>Esmeralda</x:v>
      </x:c>
      <x:c r="G27" s="12" t="str">
        <x:v>Gema individual</x:v>
      </x:c>
      <x:c r="H27" s="18" t="n">
        <x:v>1</x:v>
      </x:c>
      <x:c r="I27" s="12" t="str">
        <x:v>Gota / Pear</x:v>
      </x:c>
      <x:c r="J27" s="12" t="str">
        <x:v>15 x 9 x 5</x:v>
      </x:c>
      <x:c r="K27" s="14" t="n">
        <x:v>4.335</x:v>
      </x:c>
      <x:c r="L27" s="12" t="str">
        <x:v>Sim</x:v>
      </x:c>
      <x:c r="M27" s="12" t="str">
        <x:v>Balança / informado</x:v>
      </x:c>
      <x:c r="N27" s="12" t="str">
        <x:v>Verde médio a médio-escuro</x:v>
      </x:c>
      <x:c r="O27" s="12" t="str">
        <x:v>Semi-transparente a translúcida</x:v>
      </x:c>
      <x:c r="P27" s="12" t="str"/>
      <x:c r="Q27" s="12" t="str">
        <x:v>Não avaliado / não informado</x:v>
      </x:c>
      <x:c r="R27" s="12" t="str">
        <x:v>Não</x:v>
      </x:c>
      <x:c r="S27" s="12" t="str"/>
      <x:c r="T27" s="12" t="str"/>
      <x:c r="U27" s="20"/>
      <x:c r="V27" s="20"/>
      <x:c r="W27" s="20"/>
      <x:c r="X27" s="20"/>
      <x:c r="Y27" s="20"/>
      <x:c r="Z27" s="20"/>
      <x:c r="AA27" s="20"/>
      <x:c r="AB27" s="12" t="str">
        <x:v>Pendente de precificação individual</x:v>
      </x:c>
      <x:c r="AC27" s="16" t="n">
        <x:v>8.3</x:v>
      </x:c>
      <x:c r="AD27" s="12" t="str">
        <x:v>A</x:v>
      </x:c>
      <x:c r="AE27" s="12" t="str">
        <x:v>A definir</x:v>
      </x:c>
      <x:c r="AF27" s="12" t="str">
        <x:v>Pingente / anel de destaque</x:v>
      </x:c>
      <x:c r="AG27" s="12" t="str">
        <x:v>Pingente / anel de destaque</x:v>
      </x:c>
      <x:c r="AH27" s="12" t="str">
        <x:v>Coleção</x:v>
      </x:c>
      <x:c r="AI27" s="12" t="str"/>
      <x:c r="AJ27" s="12" t="str"/>
      <x:c r="AK27" s="12" t="str"/>
      <x:c r="AL27" s="12" t="str"/>
      <x:c r="AM27" s="12" t="str">
        <x:v>Não informado</x:v>
      </x:c>
      <x:c r="AN27" s="12" t="str"/>
      <x:c r="AO27" s="12" t="str">
        <x:v>2026-07-01</x:v>
      </x:c>
      <x:c r="AP27" s="12" t="str">
        <x:v>2026-07-19</x:v>
      </x:c>
      <x:c r="AQ27" s="12" t="str">
        <x:v>Alta</x:v>
      </x:c>
      <x:c r="AR27" s="12" t="str">
        <x:v>Inventário mestre completo atualizado em 2026-07-01</x:v>
      </x:c>
      <x:c r="AS27" s="12" t="str">
        <x:v>Precificação individual pendente</x:v>
      </x:c>
      <x:c r="AT27" s="12" t="str">
        <x:v>Avaliação visual; tratamentos não avaliados; confirmar naturalidade/tratamento em laboratório.</x:v>
      </x:c>
    </x:row>
    <x:row r="28">
      <x:c r="A28" s="12" t="str">
        <x:v>DG-EM-027</x:v>
      </x:c>
      <x:c r="B28" s="12" t="str"/>
      <x:c r="C28" s="12" t="str">
        <x:v>Emerald Collection</x:v>
      </x:c>
      <x:c r="D28" s="12" t="str">
        <x:v>Esmeraldas</x:v>
      </x:c>
      <x:c r="E28" s="12" t="str">
        <x:v>Berilo</x:v>
      </x:c>
      <x:c r="F28" s="12" t="str">
        <x:v>Esmeralda</x:v>
      </x:c>
      <x:c r="G28" s="12" t="str">
        <x:v>Gema individual</x:v>
      </x:c>
      <x:c r="H28" s="18" t="n">
        <x:v>1</x:v>
      </x:c>
      <x:c r="I28" s="12" t="str">
        <x:v>Octogonal / Emerald Cut</x:v>
      </x:c>
      <x:c r="J28" s="12" t="str">
        <x:v>10 x 10 x 5</x:v>
      </x:c>
      <x:c r="K28" s="14" t="n">
        <x:v>4.91</x:v>
      </x:c>
      <x:c r="L28" s="12" t="str">
        <x:v>Sim</x:v>
      </x:c>
      <x:c r="M28" s="12" t="str">
        <x:v>Balança / informado</x:v>
      </x:c>
      <x:c r="N28" s="12" t="str">
        <x:v>Verde intenso</x:v>
      </x:c>
      <x:c r="O28" s="12" t="str">
        <x:v>Semi-transparente a translúcida</x:v>
      </x:c>
      <x:c r="P28" s="12" t="str"/>
      <x:c r="Q28" s="12" t="str">
        <x:v>Não avaliado / não informado</x:v>
      </x:c>
      <x:c r="R28" s="12" t="str">
        <x:v>Não</x:v>
      </x:c>
      <x:c r="S28" s="12" t="str"/>
      <x:c r="T28" s="12" t="str"/>
      <x:c r="U28" s="20"/>
      <x:c r="V28" s="20"/>
      <x:c r="W28" s="20"/>
      <x:c r="X28" s="20"/>
      <x:c r="Y28" s="20"/>
      <x:c r="Z28" s="20"/>
      <x:c r="AA28" s="20"/>
      <x:c r="AB28" s="12" t="str">
        <x:v>Pendente de precificação individual</x:v>
      </x:c>
      <x:c r="AC28" s="16" t="n">
        <x:v>8.8</x:v>
      </x:c>
      <x:c r="AD28" s="12" t="str">
        <x:v>A+</x:v>
      </x:c>
      <x:c r="AE28" s="12" t="str">
        <x:v>A definir</x:v>
      </x:c>
      <x:c r="AF28" s="12" t="str">
        <x:v>Anel solitário / anel masculino / pingente</x:v>
      </x:c>
      <x:c r="AG28" s="12" t="str">
        <x:v>Anel solitário / anel masculino / pingente</x:v>
      </x:c>
      <x:c r="AH28" s="12" t="str">
        <x:v>Coleção</x:v>
      </x:c>
      <x:c r="AI28" s="12" t="str"/>
      <x:c r="AJ28" s="12" t="str"/>
      <x:c r="AK28" s="12" t="str"/>
      <x:c r="AL28" s="12" t="str"/>
      <x:c r="AM28" s="12" t="str">
        <x:v>Não informado</x:v>
      </x:c>
      <x:c r="AN28" s="12" t="str"/>
      <x:c r="AO28" s="12" t="str">
        <x:v>2026-07-01</x:v>
      </x:c>
      <x:c r="AP28" s="12" t="str">
        <x:v>2026-07-19</x:v>
      </x:c>
      <x:c r="AQ28" s="12" t="str">
        <x:v>Alta</x:v>
      </x:c>
      <x:c r="AR28" s="12" t="str">
        <x:v>Inventário mestre completo atualizado em 2026-07-01</x:v>
      </x:c>
      <x:c r="AS28" s="12" t="str">
        <x:v>Precificação individual pendente</x:v>
      </x:c>
      <x:c r="AT28" s="12" t="str">
        <x:v>Avaliação visual; tratamentos não avaliados; confirmar naturalidade/tratamento em laboratório.</x:v>
      </x:c>
    </x:row>
    <x:row r="29">
      <x:c r="A29" s="12" t="str">
        <x:v>DG-EM-028</x:v>
      </x:c>
      <x:c r="B29" s="12" t="str"/>
      <x:c r="C29" s="12" t="str">
        <x:v>Emerald Collection</x:v>
      </x:c>
      <x:c r="D29" s="12" t="str">
        <x:v>Esmeraldas</x:v>
      </x:c>
      <x:c r="E29" s="12" t="str">
        <x:v>Berilo</x:v>
      </x:c>
      <x:c r="F29" s="12" t="str">
        <x:v>Esmeralda</x:v>
      </x:c>
      <x:c r="G29" s="12" t="str">
        <x:v>Gema individual</x:v>
      </x:c>
      <x:c r="H29" s="18" t="n">
        <x:v>1</x:v>
      </x:c>
      <x:c r="I29" s="12" t="str">
        <x:v>Emerald Cut retangular</x:v>
      </x:c>
      <x:c r="J29" s="12" t="str">
        <x:v>15 x 11 x 7</x:v>
      </x:c>
      <x:c r="K29" s="14" t="n">
        <x:v>12.285</x:v>
      </x:c>
      <x:c r="L29" s="12" t="str">
        <x:v>Sim</x:v>
      </x:c>
      <x:c r="M29" s="12" t="str">
        <x:v>Balança / informado</x:v>
      </x:c>
      <x:c r="N29" s="12" t="str">
        <x:v>Verde médio a intenso</x:v>
      </x:c>
      <x:c r="O29" s="12" t="str">
        <x:v>Semi-transparente a translúcida</x:v>
      </x:c>
      <x:c r="P29" s="12" t="str"/>
      <x:c r="Q29" s="12" t="str">
        <x:v>Não avaliado / não informado</x:v>
      </x:c>
      <x:c r="R29" s="12" t="str">
        <x:v>Não</x:v>
      </x:c>
      <x:c r="S29" s="12" t="str"/>
      <x:c r="T29" s="12" t="str"/>
      <x:c r="U29" s="20"/>
      <x:c r="V29" s="20"/>
      <x:c r="W29" s="20"/>
      <x:c r="X29" s="20"/>
      <x:c r="Y29" s="20"/>
      <x:c r="Z29" s="20"/>
      <x:c r="AA29" s="20"/>
      <x:c r="AB29" s="12" t="str">
        <x:v>Pendente de precificação individual</x:v>
      </x:c>
      <x:c r="AC29" s="16" t="n">
        <x:v>9</x:v>
      </x:c>
      <x:c r="AD29" s="12" t="str">
        <x:v>A+ Premium</x:v>
      </x:c>
      <x:c r="AE29" s="12" t="str">
        <x:v>A definir</x:v>
      </x:c>
      <x:c r="AF29" s="12" t="str">
        <x:v>Anel masculino premium / pingente alto padrão</x:v>
      </x:c>
      <x:c r="AG29" s="12" t="str">
        <x:v>Anel masculino premium / pingente alto padrão</x:v>
      </x:c>
      <x:c r="AH29" s="12" t="str">
        <x:v>Coleção</x:v>
      </x:c>
      <x:c r="AI29" s="12" t="str"/>
      <x:c r="AJ29" s="12" t="str"/>
      <x:c r="AK29" s="12" t="str"/>
      <x:c r="AL29" s="12" t="str"/>
      <x:c r="AM29" s="12" t="str">
        <x:v>Não informado</x:v>
      </x:c>
      <x:c r="AN29" s="12" t="str"/>
      <x:c r="AO29" s="12" t="str">
        <x:v>2026-07-01</x:v>
      </x:c>
      <x:c r="AP29" s="12" t="str">
        <x:v>2026-07-19</x:v>
      </x:c>
      <x:c r="AQ29" s="12" t="str">
        <x:v>Alta</x:v>
      </x:c>
      <x:c r="AR29" s="12" t="str">
        <x:v>Inventário mestre completo atualizado em 2026-07-01</x:v>
      </x:c>
      <x:c r="AS29" s="12" t="str">
        <x:v>Precificação individual pendente</x:v>
      </x:c>
      <x:c r="AT29" s="12" t="str">
        <x:v>Avaliação visual; tratamentos não avaliados; confirmar naturalidade/tratamento em laboratório.</x:v>
      </x:c>
    </x:row>
    <x:row r="30">
      <x:c r="A30" s="12" t="str">
        <x:v>DG-EM-029</x:v>
      </x:c>
      <x:c r="B30" s="12" t="str"/>
      <x:c r="C30" s="12" t="str">
        <x:v>Emerald Collection</x:v>
      </x:c>
      <x:c r="D30" s="12" t="str">
        <x:v>Esmeraldas</x:v>
      </x:c>
      <x:c r="E30" s="12" t="str">
        <x:v>Berilo</x:v>
      </x:c>
      <x:c r="F30" s="12" t="str">
        <x:v>Esmeralda</x:v>
      </x:c>
      <x:c r="G30" s="12" t="str">
        <x:v>Gema individual</x:v>
      </x:c>
      <x:c r="H30" s="18" t="n">
        <x:v>1</x:v>
      </x:c>
      <x:c r="I30" s="12" t="str">
        <x:v>Emerald Cut</x:v>
      </x:c>
      <x:c r="J30" s="12" t="str">
        <x:v>10 x 9 x 3</x:v>
      </x:c>
      <x:c r="K30" s="14" t="n">
        <x:v>2.79</x:v>
      </x:c>
      <x:c r="L30" s="12" t="str">
        <x:v>Sim</x:v>
      </x:c>
      <x:c r="M30" s="12" t="str">
        <x:v>Balança / informado</x:v>
      </x:c>
      <x:c r="N30" s="12" t="str">
        <x:v>Verde médio</x:v>
      </x:c>
      <x:c r="O30" s="12" t="str">
        <x:v>Semi-transparente a translúcida</x:v>
      </x:c>
      <x:c r="P30" s="12" t="str"/>
      <x:c r="Q30" s="12" t="str">
        <x:v>Não avaliado / não informado</x:v>
      </x:c>
      <x:c r="R30" s="12" t="str">
        <x:v>Não</x:v>
      </x:c>
      <x:c r="S30" s="12" t="str"/>
      <x:c r="T30" s="12" t="str"/>
      <x:c r="U30" s="20"/>
      <x:c r="V30" s="20"/>
      <x:c r="W30" s="20"/>
      <x:c r="X30" s="20"/>
      <x:c r="Y30" s="20"/>
      <x:c r="Z30" s="20"/>
      <x:c r="AA30" s="20"/>
      <x:c r="AB30" s="12" t="str">
        <x:v>Pendente de precificação individual</x:v>
      </x:c>
      <x:c r="AC30" s="16" t="n">
        <x:v>8.7</x:v>
      </x:c>
      <x:c r="AD30" s="12" t="str">
        <x:v>A</x:v>
      </x:c>
      <x:c r="AE30" s="12" t="str">
        <x:v>A definir</x:v>
      </x:c>
      <x:c r="AF30" s="12" t="str">
        <x:v>Anel, pingente ou par de brincos</x:v>
      </x:c>
      <x:c r="AG30" s="12" t="str">
        <x:v>Anel, pingente ou par de brincos</x:v>
      </x:c>
      <x:c r="AH30" s="12" t="str">
        <x:v>Coleção</x:v>
      </x:c>
      <x:c r="AI30" s="12" t="str"/>
      <x:c r="AJ30" s="12" t="str"/>
      <x:c r="AK30" s="12" t="str"/>
      <x:c r="AL30" s="12" t="str"/>
      <x:c r="AM30" s="12" t="str">
        <x:v>Não informado</x:v>
      </x:c>
      <x:c r="AN30" s="12" t="str"/>
      <x:c r="AO30" s="12" t="str">
        <x:v>2026-07-01</x:v>
      </x:c>
      <x:c r="AP30" s="12" t="str">
        <x:v>2026-07-19</x:v>
      </x:c>
      <x:c r="AQ30" s="12" t="str">
        <x:v>Alta</x:v>
      </x:c>
      <x:c r="AR30" s="12" t="str">
        <x:v>Inventário mestre completo atualizado em 2026-07-01</x:v>
      </x:c>
      <x:c r="AS30" s="12" t="str">
        <x:v>Precificação individual pendente</x:v>
      </x:c>
      <x:c r="AT30" s="12" t="str">
        <x:v>Avaliação visual; tratamentos não avaliados; confirmar naturalidade/tratamento em laboratório.</x:v>
      </x:c>
    </x:row>
    <x:row r="31">
      <x:c r="A31" s="12" t="str">
        <x:v>DG-EM-030</x:v>
      </x:c>
      <x:c r="B31" s="12" t="str"/>
      <x:c r="C31" s="12" t="str">
        <x:v>Emerald Collection</x:v>
      </x:c>
      <x:c r="D31" s="12" t="str">
        <x:v>Esmeraldas</x:v>
      </x:c>
      <x:c r="E31" s="12" t="str">
        <x:v>Berilo</x:v>
      </x:c>
      <x:c r="F31" s="12" t="str">
        <x:v>Esmeralda</x:v>
      </x:c>
      <x:c r="G31" s="12" t="str">
        <x:v>Gema individual</x:v>
      </x:c>
      <x:c r="H31" s="18" t="n">
        <x:v>1</x:v>
      </x:c>
      <x:c r="I31" s="12" t="str">
        <x:v>Emerald Cut</x:v>
      </x:c>
      <x:c r="J31" s="12" t="str">
        <x:v>11 x 9 x 6</x:v>
      </x:c>
      <x:c r="K31" s="14" t="n">
        <x:v>5.19</x:v>
      </x:c>
      <x:c r="L31" s="12" t="str">
        <x:v>Sim</x:v>
      </x:c>
      <x:c r="M31" s="12" t="str">
        <x:v>Balança / informado</x:v>
      </x:c>
      <x:c r="N31" s="12" t="str">
        <x:v>Verde médio a intenso</x:v>
      </x:c>
      <x:c r="O31" s="12" t="str">
        <x:v>Semi-transparente a translúcida</x:v>
      </x:c>
      <x:c r="P31" s="12" t="str"/>
      <x:c r="Q31" s="12" t="str">
        <x:v>Não avaliado / não informado</x:v>
      </x:c>
      <x:c r="R31" s="12" t="str">
        <x:v>Não</x:v>
      </x:c>
      <x:c r="S31" s="12" t="str"/>
      <x:c r="T31" s="12" t="str"/>
      <x:c r="U31" s="20"/>
      <x:c r="V31" s="20"/>
      <x:c r="W31" s="20"/>
      <x:c r="X31" s="20"/>
      <x:c r="Y31" s="20"/>
      <x:c r="Z31" s="20"/>
      <x:c r="AA31" s="20"/>
      <x:c r="AB31" s="12" t="str">
        <x:v>Pendente de precificação individual</x:v>
      </x:c>
      <x:c r="AC31" s="16" t="n">
        <x:v>9</x:v>
      </x:c>
      <x:c r="AD31" s="12" t="str">
        <x:v>A+</x:v>
      </x:c>
      <x:c r="AE31" s="12" t="str">
        <x:v>A definir</x:v>
      </x:c>
      <x:c r="AF31" s="12" t="str">
        <x:v>Anel de destaque / pingente alto padrão</x:v>
      </x:c>
      <x:c r="AG31" s="12" t="str">
        <x:v>Anel de destaque / pingente alto padrão</x:v>
      </x:c>
      <x:c r="AH31" s="12" t="str">
        <x:v>Coleção</x:v>
      </x:c>
      <x:c r="AI31" s="12" t="str"/>
      <x:c r="AJ31" s="12" t="str"/>
      <x:c r="AK31" s="12" t="str"/>
      <x:c r="AL31" s="12" t="str"/>
      <x:c r="AM31" s="12" t="str">
        <x:v>Não informado</x:v>
      </x:c>
      <x:c r="AN31" s="12" t="str"/>
      <x:c r="AO31" s="12" t="str">
        <x:v>2026-07-01</x:v>
      </x:c>
      <x:c r="AP31" s="12" t="str">
        <x:v>2026-07-19</x:v>
      </x:c>
      <x:c r="AQ31" s="12" t="str">
        <x:v>Alta</x:v>
      </x:c>
      <x:c r="AR31" s="12" t="str">
        <x:v>Inventário mestre completo atualizado em 2026-07-01</x:v>
      </x:c>
      <x:c r="AS31" s="12" t="str">
        <x:v>Precificação individual pendente</x:v>
      </x:c>
      <x:c r="AT31" s="12" t="str">
        <x:v>Avaliação visual; tratamentos não avaliados; confirmar naturalidade/tratamento em laboratório.</x:v>
      </x:c>
    </x:row>
    <x:row r="32">
      <x:c r="A32" s="12" t="str">
        <x:v>DG-EM-031</x:v>
      </x:c>
      <x:c r="B32" s="12" t="str"/>
      <x:c r="C32" s="12" t="str">
        <x:v>Emerald Collection</x:v>
      </x:c>
      <x:c r="D32" s="12" t="str">
        <x:v>Esmeraldas</x:v>
      </x:c>
      <x:c r="E32" s="12" t="str">
        <x:v>Berilo</x:v>
      </x:c>
      <x:c r="F32" s="12" t="str">
        <x:v>Esmeralda</x:v>
      </x:c>
      <x:c r="G32" s="12" t="str">
        <x:v>Gema individual</x:v>
      </x:c>
      <x:c r="H32" s="18" t="n">
        <x:v>1</x:v>
      </x:c>
      <x:c r="I32" s="12" t="str">
        <x:v>Navete / Marquise</x:v>
      </x:c>
      <x:c r="J32" s="12" t="str">
        <x:v>19 x 8 x 5</x:v>
      </x:c>
      <x:c r="K32" s="14" t="n">
        <x:v>6.18</x:v>
      </x:c>
      <x:c r="L32" s="12" t="str">
        <x:v>Sim</x:v>
      </x:c>
      <x:c r="M32" s="12" t="str">
        <x:v>Balança / informado</x:v>
      </x:c>
      <x:c r="N32" s="12" t="str">
        <x:v>Verde médio levemente azulado</x:v>
      </x:c>
      <x:c r="O32" s="12" t="str">
        <x:v>Semi-transparente a translúcida</x:v>
      </x:c>
      <x:c r="P32" s="12" t="str"/>
      <x:c r="Q32" s="12" t="str">
        <x:v>Não avaliado / não informado</x:v>
      </x:c>
      <x:c r="R32" s="12" t="str">
        <x:v>Não</x:v>
      </x:c>
      <x:c r="S32" s="12" t="str"/>
      <x:c r="T32" s="12" t="str"/>
      <x:c r="U32" s="20"/>
      <x:c r="V32" s="20"/>
      <x:c r="W32" s="20"/>
      <x:c r="X32" s="20"/>
      <x:c r="Y32" s="20"/>
      <x:c r="Z32" s="20"/>
      <x:c r="AA32" s="20"/>
      <x:c r="AB32" s="12" t="str">
        <x:v>Pendente de precificação individual</x:v>
      </x:c>
      <x:c r="AC32" s="16" t="n">
        <x:v>9.1</x:v>
      </x:c>
      <x:c r="AD32" s="12" t="str">
        <x:v>A+</x:v>
      </x:c>
      <x:c r="AE32" s="12" t="str">
        <x:v>A definir</x:v>
      </x:c>
      <x:c r="AF32" s="12" t="str">
        <x:v>Anel de luxo / pingente / broche</x:v>
      </x:c>
      <x:c r="AG32" s="12" t="str">
        <x:v>Anel de luxo / pingente / broche</x:v>
      </x:c>
      <x:c r="AH32" s="12" t="str">
        <x:v>Coleção</x:v>
      </x:c>
      <x:c r="AI32" s="12" t="str"/>
      <x:c r="AJ32" s="12" t="str"/>
      <x:c r="AK32" s="12" t="str"/>
      <x:c r="AL32" s="12" t="str"/>
      <x:c r="AM32" s="12" t="str">
        <x:v>Não informado</x:v>
      </x:c>
      <x:c r="AN32" s="12" t="str"/>
      <x:c r="AO32" s="12" t="str">
        <x:v>2026-07-01</x:v>
      </x:c>
      <x:c r="AP32" s="12" t="str">
        <x:v>2026-07-19</x:v>
      </x:c>
      <x:c r="AQ32" s="12" t="str">
        <x:v>Alta</x:v>
      </x:c>
      <x:c r="AR32" s="12" t="str">
        <x:v>Inventário mestre completo atualizado em 2026-07-01</x:v>
      </x:c>
      <x:c r="AS32" s="12" t="str">
        <x:v>Precificação individual pendente</x:v>
      </x:c>
      <x:c r="AT32" s="12" t="str">
        <x:v>Avaliação visual; tratamentos não avaliados; confirmar naturalidade/tratamento em laboratório.</x:v>
      </x:c>
    </x:row>
    <x:row r="33">
      <x:c r="A33" s="12" t="str">
        <x:v>DG-EM-032</x:v>
      </x:c>
      <x:c r="B33" s="12" t="str"/>
      <x:c r="C33" s="12" t="str">
        <x:v>Emerald Collection</x:v>
      </x:c>
      <x:c r="D33" s="12" t="str">
        <x:v>Esmeraldas</x:v>
      </x:c>
      <x:c r="E33" s="12" t="str">
        <x:v>Berilo</x:v>
      </x:c>
      <x:c r="F33" s="12" t="str">
        <x:v>Esmeralda</x:v>
      </x:c>
      <x:c r="G33" s="12" t="str">
        <x:v>Gema individual</x:v>
      </x:c>
      <x:c r="H33" s="18" t="n">
        <x:v>1</x:v>
      </x:c>
      <x:c r="I33" s="12" t="str">
        <x:v>Oval mista</x:v>
      </x:c>
      <x:c r="J33" s="12" t="str">
        <x:v>11 x 7 x 4</x:v>
      </x:c>
      <x:c r="K33" s="14" t="n">
        <x:v>2</x:v>
      </x:c>
      <x:c r="L33" s="12" t="str">
        <x:v>Sim</x:v>
      </x:c>
      <x:c r="M33" s="12" t="str">
        <x:v>Balança / informado</x:v>
      </x:c>
      <x:c r="N33" s="12" t="str">
        <x:v>Verde médio azulado</x:v>
      </x:c>
      <x:c r="O33" s="12" t="str">
        <x:v>Semi-transparente a translúcida</x:v>
      </x:c>
      <x:c r="P33" s="12" t="str"/>
      <x:c r="Q33" s="12" t="str">
        <x:v>Não avaliado / não informado</x:v>
      </x:c>
      <x:c r="R33" s="12" t="str">
        <x:v>Não</x:v>
      </x:c>
      <x:c r="S33" s="12" t="str"/>
      <x:c r="T33" s="12" t="str"/>
      <x:c r="U33" s="20"/>
      <x:c r="V33" s="20"/>
      <x:c r="W33" s="20"/>
      <x:c r="X33" s="20"/>
      <x:c r="Y33" s="20"/>
      <x:c r="Z33" s="20"/>
      <x:c r="AA33" s="20"/>
      <x:c r="AB33" s="12" t="str">
        <x:v>Pendente de precificação individual</x:v>
      </x:c>
      <x:c r="AC33" s="16" t="n">
        <x:v>8.6</x:v>
      </x:c>
      <x:c r="AD33" s="12" t="str">
        <x:v>A</x:v>
      </x:c>
      <x:c r="AE33" s="12" t="str">
        <x:v>A definir</x:v>
      </x:c>
      <x:c r="AF33" s="12" t="str">
        <x:v>Anel elegante / pingente / brincos</x:v>
      </x:c>
      <x:c r="AG33" s="12" t="str">
        <x:v>Anel elegante / pingente / brincos</x:v>
      </x:c>
      <x:c r="AH33" s="12" t="str">
        <x:v>Coleção</x:v>
      </x:c>
      <x:c r="AI33" s="12" t="str"/>
      <x:c r="AJ33" s="12" t="str"/>
      <x:c r="AK33" s="12" t="str"/>
      <x:c r="AL33" s="12" t="str"/>
      <x:c r="AM33" s="12" t="str">
        <x:v>Não informado</x:v>
      </x:c>
      <x:c r="AN33" s="12" t="str"/>
      <x:c r="AO33" s="12" t="str">
        <x:v>2026-07-01</x:v>
      </x:c>
      <x:c r="AP33" s="12" t="str">
        <x:v>2026-07-19</x:v>
      </x:c>
      <x:c r="AQ33" s="12" t="str">
        <x:v>Alta</x:v>
      </x:c>
      <x:c r="AR33" s="12" t="str">
        <x:v>Inventário mestre completo atualizado em 2026-07-01</x:v>
      </x:c>
      <x:c r="AS33" s="12" t="str">
        <x:v>Precificação individual pendente</x:v>
      </x:c>
      <x:c r="AT33" s="12" t="str">
        <x:v>Avaliação visual; tratamentos não avaliados; confirmar naturalidade/tratamento em laboratório.</x:v>
      </x:c>
    </x:row>
    <x:row r="34">
      <x:c r="A34" s="12" t="str">
        <x:v>DG-EM-033</x:v>
      </x:c>
      <x:c r="B34" s="12" t="str"/>
      <x:c r="C34" s="12" t="str">
        <x:v>Emerald Collection</x:v>
      </x:c>
      <x:c r="D34" s="12" t="str">
        <x:v>Esmeraldas</x:v>
      </x:c>
      <x:c r="E34" s="12" t="str">
        <x:v>Berilo</x:v>
      </x:c>
      <x:c r="F34" s="12" t="str">
        <x:v>Esmeralda</x:v>
      </x:c>
      <x:c r="G34" s="12" t="str">
        <x:v>Gema individual</x:v>
      </x:c>
      <x:c r="H34" s="18" t="n">
        <x:v>1</x:v>
      </x:c>
      <x:c r="I34" s="12" t="str">
        <x:v>Oval mista</x:v>
      </x:c>
      <x:c r="J34" s="12" t="str">
        <x:v>10 x 6 x 5</x:v>
      </x:c>
      <x:c r="K34" s="14" t="n">
        <x:v>2.125</x:v>
      </x:c>
      <x:c r="L34" s="12" t="str">
        <x:v>Sim</x:v>
      </x:c>
      <x:c r="M34" s="12" t="str">
        <x:v>Balança / informado</x:v>
      </x:c>
      <x:c r="N34" s="12" t="str">
        <x:v>Verde médio vivo</x:v>
      </x:c>
      <x:c r="O34" s="12" t="str">
        <x:v>Semi-transparente a translúcida</x:v>
      </x:c>
      <x:c r="P34" s="12" t="str"/>
      <x:c r="Q34" s="12" t="str">
        <x:v>Não avaliado / não informado</x:v>
      </x:c>
      <x:c r="R34" s="12" t="str">
        <x:v>Não</x:v>
      </x:c>
      <x:c r="S34" s="12" t="str"/>
      <x:c r="T34" s="12" t="str"/>
      <x:c r="U34" s="20"/>
      <x:c r="V34" s="20"/>
      <x:c r="W34" s="20"/>
      <x:c r="X34" s="20"/>
      <x:c r="Y34" s="20"/>
      <x:c r="Z34" s="20"/>
      <x:c r="AA34" s="20"/>
      <x:c r="AB34" s="12" t="str">
        <x:v>Pendente de precificação individual</x:v>
      </x:c>
      <x:c r="AC34" s="16" t="n">
        <x:v>8.8</x:v>
      </x:c>
      <x:c r="AD34" s="12" t="str">
        <x:v>A</x:v>
      </x:c>
      <x:c r="AE34" s="12" t="str">
        <x:v>A definir</x:v>
      </x:c>
      <x:c r="AF34" s="12" t="str">
        <x:v>Par de brincos / anel / pingente</x:v>
      </x:c>
      <x:c r="AG34" s="12" t="str">
        <x:v>Par de brincos / anel / pingente</x:v>
      </x:c>
      <x:c r="AH34" s="12" t="str">
        <x:v>Coleção</x:v>
      </x:c>
      <x:c r="AI34" s="12" t="str"/>
      <x:c r="AJ34" s="12" t="str"/>
      <x:c r="AK34" s="12" t="str"/>
      <x:c r="AL34" s="12" t="str"/>
      <x:c r="AM34" s="12" t="str">
        <x:v>Não informado</x:v>
      </x:c>
      <x:c r="AN34" s="12" t="str"/>
      <x:c r="AO34" s="12" t="str">
        <x:v>2026-07-01</x:v>
      </x:c>
      <x:c r="AP34" s="12" t="str">
        <x:v>2026-07-19</x:v>
      </x:c>
      <x:c r="AQ34" s="12" t="str">
        <x:v>Alta</x:v>
      </x:c>
      <x:c r="AR34" s="12" t="str">
        <x:v>Inventário mestre completo atualizado em 2026-07-01</x:v>
      </x:c>
      <x:c r="AS34" s="12" t="str">
        <x:v>Precificação individual pendente</x:v>
      </x:c>
      <x:c r="AT34" s="12" t="str">
        <x:v>Avaliação visual; tratamentos não avaliados; confirmar naturalidade/tratamento em laboratório.</x:v>
      </x:c>
    </x:row>
    <x:row r="35">
      <x:c r="A35" s="12" t="str">
        <x:v>DG-EM-034</x:v>
      </x:c>
      <x:c r="B35" s="12" t="str"/>
      <x:c r="C35" s="12" t="str">
        <x:v>Emerald Collection</x:v>
      </x:c>
      <x:c r="D35" s="12" t="str">
        <x:v>Esmeraldas</x:v>
      </x:c>
      <x:c r="E35" s="12" t="str">
        <x:v>Berilo</x:v>
      </x:c>
      <x:c r="F35" s="12" t="str">
        <x:v>Esmeralda</x:v>
      </x:c>
      <x:c r="G35" s="12" t="str">
        <x:v>Gema individual</x:v>
      </x:c>
      <x:c r="H35" s="18" t="n">
        <x:v>1</x:v>
      </x:c>
      <x:c r="I35" s="12" t="str">
        <x:v>Oval mista</x:v>
      </x:c>
      <x:c r="J35" s="12" t="str">
        <x:v>10 x 6 x 5</x:v>
      </x:c>
      <x:c r="K35" s="14" t="n">
        <x:v>1.825</x:v>
      </x:c>
      <x:c r="L35" s="12" t="str">
        <x:v>Sim</x:v>
      </x:c>
      <x:c r="M35" s="12" t="str">
        <x:v>Balança / informado</x:v>
      </x:c>
      <x:c r="N35" s="12" t="str">
        <x:v>Verde médio vivo</x:v>
      </x:c>
      <x:c r="O35" s="12" t="str">
        <x:v>Semi-transparente a translúcida</x:v>
      </x:c>
      <x:c r="P35" s="12" t="str"/>
      <x:c r="Q35" s="12" t="str">
        <x:v>Não avaliado / não informado</x:v>
      </x:c>
      <x:c r="R35" s="12" t="str">
        <x:v>Não</x:v>
      </x:c>
      <x:c r="S35" s="12" t="str"/>
      <x:c r="T35" s="12" t="str"/>
      <x:c r="U35" s="20"/>
      <x:c r="V35" s="20"/>
      <x:c r="W35" s="20"/>
      <x:c r="X35" s="20"/>
      <x:c r="Y35" s="20"/>
      <x:c r="Z35" s="20"/>
      <x:c r="AA35" s="20"/>
      <x:c r="AB35" s="12" t="str">
        <x:v>Pendente de precificação individual</x:v>
      </x:c>
      <x:c r="AC35" s="16" t="n">
        <x:v>8.7</x:v>
      </x:c>
      <x:c r="AD35" s="12" t="str">
        <x:v>A</x:v>
      </x:c>
      <x:c r="AE35" s="12" t="str">
        <x:v>A definir</x:v>
      </x:c>
      <x:c r="AF35" s="12" t="str">
        <x:v>Par de brincos / anel / pingente</x:v>
      </x:c>
      <x:c r="AG35" s="12" t="str">
        <x:v>Par de brincos / anel / pingente</x:v>
      </x:c>
      <x:c r="AH35" s="12" t="str">
        <x:v>Coleção</x:v>
      </x:c>
      <x:c r="AI35" s="12" t="str"/>
      <x:c r="AJ35" s="12" t="str"/>
      <x:c r="AK35" s="12" t="str"/>
      <x:c r="AL35" s="12" t="str"/>
      <x:c r="AM35" s="12" t="str">
        <x:v>Não informado</x:v>
      </x:c>
      <x:c r="AN35" s="12" t="str"/>
      <x:c r="AO35" s="12" t="str">
        <x:v>2026-07-01</x:v>
      </x:c>
      <x:c r="AP35" s="12" t="str">
        <x:v>2026-07-19</x:v>
      </x:c>
      <x:c r="AQ35" s="12" t="str">
        <x:v>Alta</x:v>
      </x:c>
      <x:c r="AR35" s="12" t="str">
        <x:v>Inventário mestre completo atualizado em 2026-07-01</x:v>
      </x:c>
      <x:c r="AS35" s="12" t="str">
        <x:v>Precificação individual pendente</x:v>
      </x:c>
      <x:c r="AT35" s="12" t="str">
        <x:v>Avaliação visual; tratamentos não avaliados; confirmar naturalidade/tratamento em laboratório.</x:v>
      </x:c>
    </x:row>
    <x:row r="36">
      <x:c r="A36" s="12" t="str">
        <x:v>DG-EM-035</x:v>
      </x:c>
      <x:c r="B36" s="12" t="str"/>
      <x:c r="C36" s="12" t="str">
        <x:v>Emerald Collection</x:v>
      </x:c>
      <x:c r="D36" s="12" t="str">
        <x:v>Esmeraldas</x:v>
      </x:c>
      <x:c r="E36" s="12" t="str">
        <x:v>Berilo</x:v>
      </x:c>
      <x:c r="F36" s="12" t="str">
        <x:v>Esmeralda</x:v>
      </x:c>
      <x:c r="G36" s="12" t="str">
        <x:v>Gema individual</x:v>
      </x:c>
      <x:c r="H36" s="18" t="n">
        <x:v>1</x:v>
      </x:c>
      <x:c r="I36" s="12" t="str">
        <x:v>Octogonal / Emerald Cut</x:v>
      </x:c>
      <x:c r="J36" s="12" t="str">
        <x:v>7 x 7 x 4</x:v>
      </x:c>
      <x:c r="K36" s="14" t="n">
        <x:v>1.62</x:v>
      </x:c>
      <x:c r="L36" s="12" t="str">
        <x:v>Sim</x:v>
      </x:c>
      <x:c r="M36" s="12" t="str">
        <x:v>Balança / informado</x:v>
      </x:c>
      <x:c r="N36" s="12" t="str">
        <x:v>Verde médio azulado</x:v>
      </x:c>
      <x:c r="O36" s="12" t="str">
        <x:v>Semi-transparente a translúcida</x:v>
      </x:c>
      <x:c r="P36" s="12" t="str"/>
      <x:c r="Q36" s="12" t="str">
        <x:v>Não avaliado / não informado</x:v>
      </x:c>
      <x:c r="R36" s="12" t="str">
        <x:v>Não</x:v>
      </x:c>
      <x:c r="S36" s="12" t="str"/>
      <x:c r="T36" s="12" t="str"/>
      <x:c r="U36" s="20"/>
      <x:c r="V36" s="20"/>
      <x:c r="W36" s="20"/>
      <x:c r="X36" s="20"/>
      <x:c r="Y36" s="20"/>
      <x:c r="Z36" s="20"/>
      <x:c r="AA36" s="20"/>
      <x:c r="AB36" s="12" t="str">
        <x:v>Pendente de precificação individual</x:v>
      </x:c>
      <x:c r="AC36" s="16" t="n">
        <x:v>8.5</x:v>
      </x:c>
      <x:c r="AD36" s="12" t="str">
        <x:v>A-</x:v>
      </x:c>
      <x:c r="AE36" s="12" t="str">
        <x:v>A definir</x:v>
      </x:c>
      <x:c r="AF36" s="12" t="str">
        <x:v>Anel solitário delicado / pingente</x:v>
      </x:c>
      <x:c r="AG36" s="12" t="str">
        <x:v>Anel solitário delicado / pingente</x:v>
      </x:c>
      <x:c r="AH36" s="12" t="str">
        <x:v>Coleção</x:v>
      </x:c>
      <x:c r="AI36" s="12" t="str"/>
      <x:c r="AJ36" s="12" t="str"/>
      <x:c r="AK36" s="12" t="str"/>
      <x:c r="AL36" s="12" t="str"/>
      <x:c r="AM36" s="12" t="str">
        <x:v>Não informado</x:v>
      </x:c>
      <x:c r="AN36" s="12" t="str"/>
      <x:c r="AO36" s="12" t="str">
        <x:v>2026-07-01</x:v>
      </x:c>
      <x:c r="AP36" s="12" t="str">
        <x:v>2026-07-19</x:v>
      </x:c>
      <x:c r="AQ36" s="12" t="str">
        <x:v>Alta</x:v>
      </x:c>
      <x:c r="AR36" s="12" t="str">
        <x:v>Inventário mestre completo atualizado em 2026-07-01</x:v>
      </x:c>
      <x:c r="AS36" s="12" t="str">
        <x:v>Precificação individual pendente</x:v>
      </x:c>
      <x:c r="AT36" s="12" t="str">
        <x:v>Avaliação visual; tratamentos não avaliados; confirmar naturalidade/tratamento em laboratório.</x:v>
      </x:c>
    </x:row>
    <x:row r="37">
      <x:c r="A37" s="12" t="str">
        <x:v>DG-EM-036</x:v>
      </x:c>
      <x:c r="B37" s="12" t="str"/>
      <x:c r="C37" s="12" t="str">
        <x:v>Emerald Collection</x:v>
      </x:c>
      <x:c r="D37" s="12" t="str">
        <x:v>Esmeraldas</x:v>
      </x:c>
      <x:c r="E37" s="12" t="str">
        <x:v>Berilo</x:v>
      </x:c>
      <x:c r="F37" s="12" t="str">
        <x:v>Esmeralda</x:v>
      </x:c>
      <x:c r="G37" s="12" t="str">
        <x:v>Gema individual</x:v>
      </x:c>
      <x:c r="H37" s="18" t="n">
        <x:v>1</x:v>
      </x:c>
      <x:c r="I37" s="12" t="str">
        <x:v>Octogonal / Emerald Cut</x:v>
      </x:c>
      <x:c r="J37" s="12" t="str">
        <x:v>7 x 7 x 4</x:v>
      </x:c>
      <x:c r="K37" s="14" t="n">
        <x:v>1.845</x:v>
      </x:c>
      <x:c r="L37" s="12" t="str">
        <x:v>Sim</x:v>
      </x:c>
      <x:c r="M37" s="12" t="str">
        <x:v>Balança / informado</x:v>
      </x:c>
      <x:c r="N37" s="12" t="str">
        <x:v>Verde médio a médio-intenso</x:v>
      </x:c>
      <x:c r="O37" s="12" t="str">
        <x:v>Semi-transparente a translúcida</x:v>
      </x:c>
      <x:c r="P37" s="12" t="str"/>
      <x:c r="Q37" s="12" t="str">
        <x:v>Não avaliado / não informado</x:v>
      </x:c>
      <x:c r="R37" s="12" t="str">
        <x:v>Não</x:v>
      </x:c>
      <x:c r="S37" s="12" t="str"/>
      <x:c r="T37" s="12" t="str"/>
      <x:c r="U37" s="20"/>
      <x:c r="V37" s="20"/>
      <x:c r="W37" s="20"/>
      <x:c r="X37" s="20"/>
      <x:c r="Y37" s="20"/>
      <x:c r="Z37" s="20"/>
      <x:c r="AA37" s="20"/>
      <x:c r="AB37" s="12" t="str">
        <x:v>Pendente de precificação individual</x:v>
      </x:c>
      <x:c r="AC37" s="16" t="n">
        <x:v>8.8</x:v>
      </x:c>
      <x:c r="AD37" s="12" t="str">
        <x:v>A</x:v>
      </x:c>
      <x:c r="AE37" s="12" t="str">
        <x:v>A definir</x:v>
      </x:c>
      <x:c r="AF37" s="12" t="str">
        <x:v>Anel solitário / brincos / pingente</x:v>
      </x:c>
      <x:c r="AG37" s="12" t="str">
        <x:v>Anel solitário / brincos / pingente</x:v>
      </x:c>
      <x:c r="AH37" s="12" t="str">
        <x:v>Coleção</x:v>
      </x:c>
      <x:c r="AI37" s="12" t="str"/>
      <x:c r="AJ37" s="12" t="str"/>
      <x:c r="AK37" s="12" t="str"/>
      <x:c r="AL37" s="12" t="str"/>
      <x:c r="AM37" s="12" t="str">
        <x:v>Não informado</x:v>
      </x:c>
      <x:c r="AN37" s="12" t="str"/>
      <x:c r="AO37" s="12" t="str">
        <x:v>2026-07-01</x:v>
      </x:c>
      <x:c r="AP37" s="12" t="str">
        <x:v>2026-07-19</x:v>
      </x:c>
      <x:c r="AQ37" s="12" t="str">
        <x:v>Alta</x:v>
      </x:c>
      <x:c r="AR37" s="12" t="str">
        <x:v>Inventário mestre completo atualizado em 2026-07-01</x:v>
      </x:c>
      <x:c r="AS37" s="12" t="str">
        <x:v>Precificação individual pendente</x:v>
      </x:c>
      <x:c r="AT37" s="12" t="str">
        <x:v>Avaliação visual; tratamentos não avaliados; confirmar naturalidade/tratamento em laboratório.</x:v>
      </x:c>
    </x:row>
    <x:row r="38">
      <x:c r="A38" s="12" t="str">
        <x:v>DG-EM-037</x:v>
      </x:c>
      <x:c r="B38" s="12" t="str"/>
      <x:c r="C38" s="12" t="str">
        <x:v>Emerald Collection</x:v>
      </x:c>
      <x:c r="D38" s="12" t="str">
        <x:v>Esmeraldas</x:v>
      </x:c>
      <x:c r="E38" s="12" t="str">
        <x:v>Berilo</x:v>
      </x:c>
      <x:c r="F38" s="12" t="str">
        <x:v>Esmeralda</x:v>
      </x:c>
      <x:c r="G38" s="12" t="str">
        <x:v>Gema individual</x:v>
      </x:c>
      <x:c r="H38" s="18" t="n">
        <x:v>1</x:v>
      </x:c>
      <x:c r="I38" s="12" t="str">
        <x:v>Octogonal / Emerald Cut</x:v>
      </x:c>
      <x:c r="J38" s="12" t="str">
        <x:v>7 x 7 x 4</x:v>
      </x:c>
      <x:c r="K38" s="14" t="n">
        <x:v>1.7</x:v>
      </x:c>
      <x:c r="L38" s="12" t="str">
        <x:v>Sim</x:v>
      </x:c>
      <x:c r="M38" s="12" t="str">
        <x:v>Balança / informado</x:v>
      </x:c>
      <x:c r="N38" s="12" t="str">
        <x:v>Verde médio azulado</x:v>
      </x:c>
      <x:c r="O38" s="12" t="str">
        <x:v>Semi-transparente a translúcida</x:v>
      </x:c>
      <x:c r="P38" s="12" t="str"/>
      <x:c r="Q38" s="12" t="str">
        <x:v>Não avaliado / não informado</x:v>
      </x:c>
      <x:c r="R38" s="12" t="str">
        <x:v>Não</x:v>
      </x:c>
      <x:c r="S38" s="12" t="str"/>
      <x:c r="T38" s="12" t="str"/>
      <x:c r="U38" s="20"/>
      <x:c r="V38" s="20"/>
      <x:c r="W38" s="20"/>
      <x:c r="X38" s="20"/>
      <x:c r="Y38" s="20"/>
      <x:c r="Z38" s="20"/>
      <x:c r="AA38" s="20"/>
      <x:c r="AB38" s="12" t="str">
        <x:v>Pendente de precificação individual</x:v>
      </x:c>
      <x:c r="AC38" s="16" t="n">
        <x:v>8.6</x:v>
      </x:c>
      <x:c r="AD38" s="12" t="str">
        <x:v>A</x:v>
      </x:c>
      <x:c r="AE38" s="12" t="str">
        <x:v>A definir</x:v>
      </x:c>
      <x:c r="AF38" s="12" t="str">
        <x:v>Anel delicado / brincos / pingente</x:v>
      </x:c>
      <x:c r="AG38" s="12" t="str">
        <x:v>Anel delicado / brincos / pingente</x:v>
      </x:c>
      <x:c r="AH38" s="12" t="str">
        <x:v>Coleção</x:v>
      </x:c>
      <x:c r="AI38" s="12" t="str"/>
      <x:c r="AJ38" s="12" t="str"/>
      <x:c r="AK38" s="12" t="str"/>
      <x:c r="AL38" s="12" t="str"/>
      <x:c r="AM38" s="12" t="str">
        <x:v>Não informado</x:v>
      </x:c>
      <x:c r="AN38" s="12" t="str"/>
      <x:c r="AO38" s="12" t="str">
        <x:v>2026-07-01</x:v>
      </x:c>
      <x:c r="AP38" s="12" t="str">
        <x:v>2026-07-19</x:v>
      </x:c>
      <x:c r="AQ38" s="12" t="str">
        <x:v>Alta</x:v>
      </x:c>
      <x:c r="AR38" s="12" t="str">
        <x:v>Inventário mestre completo atualizado em 2026-07-01</x:v>
      </x:c>
      <x:c r="AS38" s="12" t="str">
        <x:v>Precificação individual pendente</x:v>
      </x:c>
      <x:c r="AT38" s="12" t="str">
        <x:v>Avaliação visual; tratamentos não avaliados; confirmar naturalidade/tratamento em laboratório.</x:v>
      </x:c>
    </x:row>
    <x:row r="39">
      <x:c r="A39" s="12" t="str">
        <x:v>DG-EM-038</x:v>
      </x:c>
      <x:c r="B39" s="12" t="str"/>
      <x:c r="C39" s="12" t="str">
        <x:v>Emerald Collection</x:v>
      </x:c>
      <x:c r="D39" s="12" t="str">
        <x:v>Esmeraldas</x:v>
      </x:c>
      <x:c r="E39" s="12" t="str">
        <x:v>Berilo</x:v>
      </x:c>
      <x:c r="F39" s="12" t="str">
        <x:v>Esmeralda</x:v>
      </x:c>
      <x:c r="G39" s="12" t="str">
        <x:v>Gema individual</x:v>
      </x:c>
      <x:c r="H39" s="18" t="n">
        <x:v>1</x:v>
      </x:c>
      <x:c r="I39" s="12" t="str">
        <x:v>Oval</x:v>
      </x:c>
      <x:c r="J39" s="12" t="str">
        <x:v>8 x 6 x 3</x:v>
      </x:c>
      <x:c r="K39" s="14" t="n">
        <x:v>0.76</x:v>
      </x:c>
      <x:c r="L39" s="12" t="str">
        <x:v>Sim</x:v>
      </x:c>
      <x:c r="M39" s="12" t="str">
        <x:v>Balança / informado</x:v>
      </x:c>
      <x:c r="N39" s="12" t="str">
        <x:v>Verde médio-escuro</x:v>
      </x:c>
      <x:c r="O39" s="12" t="str">
        <x:v>Semi-transparente a translúcida</x:v>
      </x:c>
      <x:c r="P39" s="12" t="str"/>
      <x:c r="Q39" s="12" t="str">
        <x:v>Não avaliado / não informado</x:v>
      </x:c>
      <x:c r="R39" s="12" t="str">
        <x:v>Não</x:v>
      </x:c>
      <x:c r="S39" s="12" t="str"/>
      <x:c r="T39" s="12" t="str"/>
      <x:c r="U39" s="20"/>
      <x:c r="V39" s="20"/>
      <x:c r="W39" s="20"/>
      <x:c r="X39" s="20"/>
      <x:c r="Y39" s="20"/>
      <x:c r="Z39" s="20"/>
      <x:c r="AA39" s="20"/>
      <x:c r="AB39" s="12" t="str">
        <x:v>Pendente de precificação individual</x:v>
      </x:c>
      <x:c r="AC39" s="16" t="n">
        <x:v>7.8</x:v>
      </x:c>
      <x:c r="AD39" s="12" t="str">
        <x:v>B+</x:v>
      </x:c>
      <x:c r="AE39" s="12" t="str">
        <x:v>A definir</x:v>
      </x:c>
      <x:c r="AF39" s="12" t="str">
        <x:v>Joias de entrada / anel delicado</x:v>
      </x:c>
      <x:c r="AG39" s="12" t="str">
        <x:v>Joias de entrada / anel delicado</x:v>
      </x:c>
      <x:c r="AH39" s="12" t="str">
        <x:v>Coleção</x:v>
      </x:c>
      <x:c r="AI39" s="12" t="str"/>
      <x:c r="AJ39" s="12" t="str"/>
      <x:c r="AK39" s="12" t="str"/>
      <x:c r="AL39" s="12" t="str"/>
      <x:c r="AM39" s="12" t="str">
        <x:v>Não informado</x:v>
      </x:c>
      <x:c r="AN39" s="12" t="str"/>
      <x:c r="AO39" s="12" t="str">
        <x:v>2026-07-01</x:v>
      </x:c>
      <x:c r="AP39" s="12" t="str">
        <x:v>2026-07-19</x:v>
      </x:c>
      <x:c r="AQ39" s="12" t="str">
        <x:v>Alta</x:v>
      </x:c>
      <x:c r="AR39" s="12" t="str">
        <x:v>Inventário mestre completo atualizado em 2026-07-01</x:v>
      </x:c>
      <x:c r="AS39" s="12" t="str">
        <x:v>Precificação individual pendente</x:v>
      </x:c>
      <x:c r="AT39" s="12" t="str">
        <x:v>Avaliação visual; tratamentos não avaliados; confirmar naturalidade/tratamento em laboratório.</x:v>
      </x:c>
    </x:row>
    <x:row r="40">
      <x:c r="A40" s="12" t="str">
        <x:v>DG-EM-039</x:v>
      </x:c>
      <x:c r="B40" s="12" t="str"/>
      <x:c r="C40" s="12" t="str">
        <x:v>Emerald Collection</x:v>
      </x:c>
      <x:c r="D40" s="12" t="str">
        <x:v>Esmeraldas</x:v>
      </x:c>
      <x:c r="E40" s="12" t="str">
        <x:v>Berilo</x:v>
      </x:c>
      <x:c r="F40" s="12" t="str">
        <x:v>Esmeralda</x:v>
      </x:c>
      <x:c r="G40" s="12" t="str">
        <x:v>Gema individual</x:v>
      </x:c>
      <x:c r="H40" s="18" t="n">
        <x:v>1</x:v>
      </x:c>
      <x:c r="I40" s="12" t="str">
        <x:v>Oval</x:v>
      </x:c>
      <x:c r="J40" s="12" t="str">
        <x:v>10 x 7 x 3</x:v>
      </x:c>
      <x:c r="K40" s="14" t="n">
        <x:v>1.5</x:v>
      </x:c>
      <x:c r="L40" s="12" t="str">
        <x:v>Sim</x:v>
      </x:c>
      <x:c r="M40" s="12" t="str">
        <x:v>Balança / informado</x:v>
      </x:c>
      <x:c r="N40" s="12" t="str">
        <x:v>Verde médio a médio-escuro</x:v>
      </x:c>
      <x:c r="O40" s="12" t="str">
        <x:v>Semi-transparente a translúcida</x:v>
      </x:c>
      <x:c r="P40" s="12" t="str"/>
      <x:c r="Q40" s="12" t="str">
        <x:v>Não avaliado / não informado</x:v>
      </x:c>
      <x:c r="R40" s="12" t="str">
        <x:v>Não</x:v>
      </x:c>
      <x:c r="S40" s="12" t="str"/>
      <x:c r="T40" s="12" t="str"/>
      <x:c r="U40" s="20"/>
      <x:c r="V40" s="20"/>
      <x:c r="W40" s="20"/>
      <x:c r="X40" s="20"/>
      <x:c r="Y40" s="20"/>
      <x:c r="Z40" s="20"/>
      <x:c r="AA40" s="20"/>
      <x:c r="AB40" s="12" t="str">
        <x:v>Pendente de precificação individual</x:v>
      </x:c>
      <x:c r="AC40" s="16" t="n">
        <x:v>8</x:v>
      </x:c>
      <x:c r="AD40" s="12" t="str">
        <x:v>B+</x:v>
      </x:c>
      <x:c r="AE40" s="12" t="str">
        <x:v>A definir</x:v>
      </x:c>
      <x:c r="AF40" s="12" t="str">
        <x:v>Anel de uso diário / brincos / pingente</x:v>
      </x:c>
      <x:c r="AG40" s="12" t="str">
        <x:v>Anel de uso diário / brincos / pingente</x:v>
      </x:c>
      <x:c r="AH40" s="12" t="str">
        <x:v>Coleção</x:v>
      </x:c>
      <x:c r="AI40" s="12" t="str"/>
      <x:c r="AJ40" s="12" t="str"/>
      <x:c r="AK40" s="12" t="str"/>
      <x:c r="AL40" s="12" t="str"/>
      <x:c r="AM40" s="12" t="str">
        <x:v>Não informado</x:v>
      </x:c>
      <x:c r="AN40" s="12" t="str"/>
      <x:c r="AO40" s="12" t="str">
        <x:v>2026-07-01</x:v>
      </x:c>
      <x:c r="AP40" s="12" t="str">
        <x:v>2026-07-19</x:v>
      </x:c>
      <x:c r="AQ40" s="12" t="str">
        <x:v>Alta</x:v>
      </x:c>
      <x:c r="AR40" s="12" t="str">
        <x:v>Inventário mestre completo atualizado em 2026-07-01</x:v>
      </x:c>
      <x:c r="AS40" s="12" t="str">
        <x:v>Precificação individual pendente</x:v>
      </x:c>
      <x:c r="AT40" s="12" t="str">
        <x:v>Avaliação visual; tratamentos não avaliados; confirmar naturalidade/tratamento em laboratório.</x:v>
      </x:c>
    </x:row>
    <x:row r="41">
      <x:c r="A41" s="12" t="str">
        <x:v>DG-EM-040</x:v>
      </x:c>
      <x:c r="B41" s="12" t="str"/>
      <x:c r="C41" s="12" t="str">
        <x:v>Emerald Collection</x:v>
      </x:c>
      <x:c r="D41" s="12" t="str">
        <x:v>Esmeraldas</x:v>
      </x:c>
      <x:c r="E41" s="12" t="str">
        <x:v>Berilo</x:v>
      </x:c>
      <x:c r="F41" s="12" t="str">
        <x:v>Esmeralda</x:v>
      </x:c>
      <x:c r="G41" s="12" t="str">
        <x:v>Gema individual</x:v>
      </x:c>
      <x:c r="H41" s="18" t="n">
        <x:v>1</x:v>
      </x:c>
      <x:c r="I41" s="12" t="str">
        <x:v>Oval</x:v>
      </x:c>
      <x:c r="J41" s="12" t="str">
        <x:v>8 x 7 x 4</x:v>
      </x:c>
      <x:c r="K41" s="14" t="n">
        <x:v>1.3</x:v>
      </x:c>
      <x:c r="L41" s="12" t="str">
        <x:v>Sim</x:v>
      </x:c>
      <x:c r="M41" s="12" t="str">
        <x:v>Balança / informado</x:v>
      </x:c>
      <x:c r="N41" s="12" t="str">
        <x:v>Verde médio</x:v>
      </x:c>
      <x:c r="O41" s="12" t="str">
        <x:v>Semi-transparente a translúcida</x:v>
      </x:c>
      <x:c r="P41" s="12" t="str"/>
      <x:c r="Q41" s="12" t="str">
        <x:v>Não avaliado / não informado</x:v>
      </x:c>
      <x:c r="R41" s="12" t="str">
        <x:v>Não</x:v>
      </x:c>
      <x:c r="S41" s="12" t="str"/>
      <x:c r="T41" s="12" t="str"/>
      <x:c r="U41" s="20"/>
      <x:c r="V41" s="20"/>
      <x:c r="W41" s="20"/>
      <x:c r="X41" s="20"/>
      <x:c r="Y41" s="20"/>
      <x:c r="Z41" s="20"/>
      <x:c r="AA41" s="20"/>
      <x:c r="AB41" s="12" t="str">
        <x:v>Pendente de precificação individual</x:v>
      </x:c>
      <x:c r="AC41" s="16" t="n">
        <x:v>8.3</x:v>
      </x:c>
      <x:c r="AD41" s="12" t="str">
        <x:v>A-</x:v>
      </x:c>
      <x:c r="AE41" s="12" t="str">
        <x:v>A definir</x:v>
      </x:c>
      <x:c r="AF41" s="12" t="str">
        <x:v>Anel solitário delicado / pingente</x:v>
      </x:c>
      <x:c r="AG41" s="12" t="str">
        <x:v>Anel solitário delicado / pingente</x:v>
      </x:c>
      <x:c r="AH41" s="12" t="str">
        <x:v>Coleção</x:v>
      </x:c>
      <x:c r="AI41" s="12" t="str"/>
      <x:c r="AJ41" s="12" t="str"/>
      <x:c r="AK41" s="12" t="str"/>
      <x:c r="AL41" s="12" t="str"/>
      <x:c r="AM41" s="12" t="str">
        <x:v>Não informado</x:v>
      </x:c>
      <x:c r="AN41" s="12" t="str"/>
      <x:c r="AO41" s="12" t="str">
        <x:v>2026-07-01</x:v>
      </x:c>
      <x:c r="AP41" s="12" t="str">
        <x:v>2026-07-19</x:v>
      </x:c>
      <x:c r="AQ41" s="12" t="str">
        <x:v>Alta</x:v>
      </x:c>
      <x:c r="AR41" s="12" t="str">
        <x:v>Inventário mestre completo atualizado em 2026-07-01</x:v>
      </x:c>
      <x:c r="AS41" s="12" t="str">
        <x:v>Precificação individual pendente</x:v>
      </x:c>
      <x:c r="AT41" s="12" t="str">
        <x:v>Avaliação visual; tratamentos não avaliados; confirmar naturalidade/tratamento em laboratório.</x:v>
      </x:c>
    </x:row>
    <x:row r="42">
      <x:c r="A42" s="12" t="str">
        <x:v>DG-EM-041</x:v>
      </x:c>
      <x:c r="B42" s="12" t="str"/>
      <x:c r="C42" s="12" t="str">
        <x:v>Emerald Collection</x:v>
      </x:c>
      <x:c r="D42" s="12" t="str">
        <x:v>Esmeraldas</x:v>
      </x:c>
      <x:c r="E42" s="12" t="str">
        <x:v>Berilo</x:v>
      </x:c>
      <x:c r="F42" s="12" t="str">
        <x:v>Esmeralda</x:v>
      </x:c>
      <x:c r="G42" s="12" t="str">
        <x:v>Gema individual</x:v>
      </x:c>
      <x:c r="H42" s="18" t="n">
        <x:v>1</x:v>
      </x:c>
      <x:c r="I42" s="12" t="str">
        <x:v>Oval</x:v>
      </x:c>
      <x:c r="J42" s="12" t="str">
        <x:v>12 x 8 x 4</x:v>
      </x:c>
      <x:c r="K42" s="14" t="n">
        <x:v>2.195</x:v>
      </x:c>
      <x:c r="L42" s="12" t="str">
        <x:v>Sim</x:v>
      </x:c>
      <x:c r="M42" s="12" t="str">
        <x:v>Balança / informado</x:v>
      </x:c>
      <x:c r="N42" s="12" t="str">
        <x:v>Verde médio a intenso</x:v>
      </x:c>
      <x:c r="O42" s="12" t="str">
        <x:v>Semi-transparente a translúcida</x:v>
      </x:c>
      <x:c r="P42" s="12" t="str"/>
      <x:c r="Q42" s="12" t="str">
        <x:v>Não avaliado / não informado</x:v>
      </x:c>
      <x:c r="R42" s="12" t="str">
        <x:v>Não</x:v>
      </x:c>
      <x:c r="S42" s="12" t="str"/>
      <x:c r="T42" s="12" t="str"/>
      <x:c r="U42" s="20"/>
      <x:c r="V42" s="20"/>
      <x:c r="W42" s="20"/>
      <x:c r="X42" s="20"/>
      <x:c r="Y42" s="20"/>
      <x:c r="Z42" s="20"/>
      <x:c r="AA42" s="20"/>
      <x:c r="AB42" s="12" t="str">
        <x:v>Pendente de precificação individual</x:v>
      </x:c>
      <x:c r="AC42" s="16" t="n">
        <x:v>8.4</x:v>
      </x:c>
      <x:c r="AD42" s="12" t="str">
        <x:v>A-</x:v>
      </x:c>
      <x:c r="AE42" s="12" t="str">
        <x:v>A definir</x:v>
      </x:c>
      <x:c r="AF42" s="12" t="str">
        <x:v>Anel de destaque / pingente</x:v>
      </x:c>
      <x:c r="AG42" s="12" t="str">
        <x:v>Anel de destaque / pingente</x:v>
      </x:c>
      <x:c r="AH42" s="12" t="str">
        <x:v>Coleção</x:v>
      </x:c>
      <x:c r="AI42" s="12" t="str"/>
      <x:c r="AJ42" s="12" t="str"/>
      <x:c r="AK42" s="12" t="str"/>
      <x:c r="AL42" s="12" t="str"/>
      <x:c r="AM42" s="12" t="str">
        <x:v>Não informado</x:v>
      </x:c>
      <x:c r="AN42" s="12" t="str"/>
      <x:c r="AO42" s="12" t="str">
        <x:v>2026-07-01</x:v>
      </x:c>
      <x:c r="AP42" s="12" t="str">
        <x:v>2026-07-19</x:v>
      </x:c>
      <x:c r="AQ42" s="12" t="str">
        <x:v>Alta</x:v>
      </x:c>
      <x:c r="AR42" s="12" t="str">
        <x:v>Inventário mestre completo atualizado em 2026-07-01</x:v>
      </x:c>
      <x:c r="AS42" s="12" t="str">
        <x:v>Precificação individual pendente</x:v>
      </x:c>
      <x:c r="AT42" s="12" t="str">
        <x:v>Avaliação visual; tratamentos não avaliados; confirmar naturalidade/tratamento em laboratório.</x:v>
      </x:c>
    </x:row>
    <x:row r="43">
      <x:c r="A43" s="12" t="str">
        <x:v>DG-EM-042</x:v>
      </x:c>
      <x:c r="B43" s="12" t="str"/>
      <x:c r="C43" s="12" t="str">
        <x:v>Emerald Collection</x:v>
      </x:c>
      <x:c r="D43" s="12" t="str">
        <x:v>Esmeraldas</x:v>
      </x:c>
      <x:c r="E43" s="12" t="str">
        <x:v>Berilo</x:v>
      </x:c>
      <x:c r="F43" s="12" t="str">
        <x:v>Esmeralda</x:v>
      </x:c>
      <x:c r="G43" s="12" t="str">
        <x:v>Gema individual</x:v>
      </x:c>
      <x:c r="H43" s="18" t="n">
        <x:v>1</x:v>
      </x:c>
      <x:c r="I43" s="12" t="str">
        <x:v>Oval</x:v>
      </x:c>
      <x:c r="J43" s="12" t="str">
        <x:v>9 x 7 x 3</x:v>
      </x:c>
      <x:c r="K43" s="14" t="n">
        <x:v>1.39</x:v>
      </x:c>
      <x:c r="L43" s="12" t="str">
        <x:v>Sim</x:v>
      </x:c>
      <x:c r="M43" s="12" t="str">
        <x:v>Balança / informado</x:v>
      </x:c>
      <x:c r="N43" s="12" t="str">
        <x:v>Verde médio</x:v>
      </x:c>
      <x:c r="O43" s="12" t="str">
        <x:v>Semi-transparente a translúcida</x:v>
      </x:c>
      <x:c r="P43" s="12" t="str"/>
      <x:c r="Q43" s="12" t="str">
        <x:v>Não avaliado / não informado</x:v>
      </x:c>
      <x:c r="R43" s="12" t="str">
        <x:v>Não</x:v>
      </x:c>
      <x:c r="S43" s="12" t="str"/>
      <x:c r="T43" s="12" t="str"/>
      <x:c r="U43" s="20"/>
      <x:c r="V43" s="20"/>
      <x:c r="W43" s="20"/>
      <x:c r="X43" s="20"/>
      <x:c r="Y43" s="20"/>
      <x:c r="Z43" s="20"/>
      <x:c r="AA43" s="20"/>
      <x:c r="AB43" s="12" t="str">
        <x:v>Pendente de precificação individual</x:v>
      </x:c>
      <x:c r="AC43" s="16" t="n">
        <x:v>8.1</x:v>
      </x:c>
      <x:c r="AD43" s="12" t="str">
        <x:v>B+</x:v>
      </x:c>
      <x:c r="AE43" s="12" t="str">
        <x:v>A definir</x:v>
      </x:c>
      <x:c r="AF43" s="12" t="str">
        <x:v>Anel delicado / brincos / pingente</x:v>
      </x:c>
      <x:c r="AG43" s="12" t="str">
        <x:v>Anel delicado / brincos / pingente</x:v>
      </x:c>
      <x:c r="AH43" s="12" t="str">
        <x:v>Coleção</x:v>
      </x:c>
      <x:c r="AI43" s="12" t="str"/>
      <x:c r="AJ43" s="12" t="str"/>
      <x:c r="AK43" s="12" t="str"/>
      <x:c r="AL43" s="12" t="str"/>
      <x:c r="AM43" s="12" t="str">
        <x:v>Não informado</x:v>
      </x:c>
      <x:c r="AN43" s="12" t="str"/>
      <x:c r="AO43" s="12" t="str">
        <x:v>2026-07-01</x:v>
      </x:c>
      <x:c r="AP43" s="12" t="str">
        <x:v>2026-07-19</x:v>
      </x:c>
      <x:c r="AQ43" s="12" t="str">
        <x:v>Alta</x:v>
      </x:c>
      <x:c r="AR43" s="12" t="str">
        <x:v>Inventário mestre completo atualizado em 2026-07-01</x:v>
      </x:c>
      <x:c r="AS43" s="12" t="str">
        <x:v>Precificação individual pendente</x:v>
      </x:c>
      <x:c r="AT43" s="12" t="str">
        <x:v>Avaliação visual; tratamentos não avaliados; confirmar naturalidade/tratamento em laboratório.</x:v>
      </x:c>
    </x:row>
    <x:row r="44">
      <x:c r="A44" s="12" t="str">
        <x:v>DG-EM-043</x:v>
      </x:c>
      <x:c r="B44" s="12" t="str"/>
      <x:c r="C44" s="12" t="str">
        <x:v>Emerald Collection</x:v>
      </x:c>
      <x:c r="D44" s="12" t="str">
        <x:v>Esmeraldas</x:v>
      </x:c>
      <x:c r="E44" s="12" t="str">
        <x:v>Berilo</x:v>
      </x:c>
      <x:c r="F44" s="12" t="str">
        <x:v>Esmeralda</x:v>
      </x:c>
      <x:c r="G44" s="12" t="str">
        <x:v>Gema individual</x:v>
      </x:c>
      <x:c r="H44" s="18" t="n">
        <x:v>1</x:v>
      </x:c>
      <x:c r="I44" s="12" t="str">
        <x:v>Oval</x:v>
      </x:c>
      <x:c r="J44" s="12" t="str">
        <x:v>9 x 6 x 3</x:v>
      </x:c>
      <x:c r="K44" s="14" t="n">
        <x:v>1.365</x:v>
      </x:c>
      <x:c r="L44" s="12" t="str">
        <x:v>Sim</x:v>
      </x:c>
      <x:c r="M44" s="12" t="str">
        <x:v>Balança / informado</x:v>
      </x:c>
      <x:c r="N44" s="12" t="str">
        <x:v>Verde médio azulado</x:v>
      </x:c>
      <x:c r="O44" s="12" t="str">
        <x:v>Semi-transparente a translúcida</x:v>
      </x:c>
      <x:c r="P44" s="12" t="str"/>
      <x:c r="Q44" s="12" t="str">
        <x:v>Não avaliado / não informado</x:v>
      </x:c>
      <x:c r="R44" s="12" t="str">
        <x:v>Não</x:v>
      </x:c>
      <x:c r="S44" s="12" t="str"/>
      <x:c r="T44" s="12" t="str"/>
      <x:c r="U44" s="20"/>
      <x:c r="V44" s="20"/>
      <x:c r="W44" s="20"/>
      <x:c r="X44" s="20"/>
      <x:c r="Y44" s="20"/>
      <x:c r="Z44" s="20"/>
      <x:c r="AA44" s="20"/>
      <x:c r="AB44" s="12" t="str">
        <x:v>Pendente de precificação individual</x:v>
      </x:c>
      <x:c r="AC44" s="16" t="n">
        <x:v>8.2</x:v>
      </x:c>
      <x:c r="AD44" s="12" t="str">
        <x:v>B+</x:v>
      </x:c>
      <x:c r="AE44" s="12" t="str">
        <x:v>A definir</x:v>
      </x:c>
      <x:c r="AF44" s="12" t="str">
        <x:v>Anel delicado / brincos / pingente</x:v>
      </x:c>
      <x:c r="AG44" s="12" t="str">
        <x:v>Anel delicado / brincos / pingente</x:v>
      </x:c>
      <x:c r="AH44" s="12" t="str">
        <x:v>Coleção</x:v>
      </x:c>
      <x:c r="AI44" s="12" t="str"/>
      <x:c r="AJ44" s="12" t="str"/>
      <x:c r="AK44" s="12" t="str"/>
      <x:c r="AL44" s="12" t="str"/>
      <x:c r="AM44" s="12" t="str">
        <x:v>Não informado</x:v>
      </x:c>
      <x:c r="AN44" s="12" t="str"/>
      <x:c r="AO44" s="12" t="str">
        <x:v>2026-07-01</x:v>
      </x:c>
      <x:c r="AP44" s="12" t="str">
        <x:v>2026-07-19</x:v>
      </x:c>
      <x:c r="AQ44" s="12" t="str">
        <x:v>Alta</x:v>
      </x:c>
      <x:c r="AR44" s="12" t="str">
        <x:v>Inventário mestre completo atualizado em 2026-07-01</x:v>
      </x:c>
      <x:c r="AS44" s="12" t="str">
        <x:v>Precificação individual pendente</x:v>
      </x:c>
      <x:c r="AT44" s="12" t="str">
        <x:v>Avaliação visual; tratamentos não avaliados; confirmar naturalidade/tratamento em laboratório.</x:v>
      </x:c>
    </x:row>
    <x:row r="45">
      <x:c r="A45" s="12" t="str">
        <x:v>DG-EM-044</x:v>
      </x:c>
      <x:c r="B45" s="12" t="str"/>
      <x:c r="C45" s="12" t="str">
        <x:v>Emerald Collection</x:v>
      </x:c>
      <x:c r="D45" s="12" t="str">
        <x:v>Esmeraldas</x:v>
      </x:c>
      <x:c r="E45" s="12" t="str">
        <x:v>Berilo</x:v>
      </x:c>
      <x:c r="F45" s="12" t="str">
        <x:v>Esmeralda</x:v>
      </x:c>
      <x:c r="G45" s="12" t="str">
        <x:v>Gema individual</x:v>
      </x:c>
      <x:c r="H45" s="18" t="n">
        <x:v>1</x:v>
      </x:c>
      <x:c r="I45" s="12" t="str">
        <x:v>Gota / Pêra</x:v>
      </x:c>
      <x:c r="J45" s="12" t="str">
        <x:v>10 x 7 x 5</x:v>
      </x:c>
      <x:c r="K45" s="14" t="n">
        <x:v>2</x:v>
      </x:c>
      <x:c r="L45" s="12" t="str">
        <x:v>Sim</x:v>
      </x:c>
      <x:c r="M45" s="12" t="str">
        <x:v>Balança / informado</x:v>
      </x:c>
      <x:c r="N45" s="12" t="str">
        <x:v>Verde médio</x:v>
      </x:c>
      <x:c r="O45" s="12" t="str">
        <x:v>Semi-transparente a translúcida</x:v>
      </x:c>
      <x:c r="P45" s="12" t="str"/>
      <x:c r="Q45" s="12" t="str">
        <x:v>Não avaliado / não informado</x:v>
      </x:c>
      <x:c r="R45" s="12" t="str">
        <x:v>Não</x:v>
      </x:c>
      <x:c r="S45" s="12" t="str"/>
      <x:c r="T45" s="12" t="str"/>
      <x:c r="U45" s="20"/>
      <x:c r="V45" s="20"/>
      <x:c r="W45" s="20"/>
      <x:c r="X45" s="20"/>
      <x:c r="Y45" s="20"/>
      <x:c r="Z45" s="20"/>
      <x:c r="AA45" s="20"/>
      <x:c r="AB45" s="12" t="str">
        <x:v>Pendente de precificação individual</x:v>
      </x:c>
      <x:c r="AC45" s="16" t="n">
        <x:v>8.5</x:v>
      </x:c>
      <x:c r="AD45" s="12" t="str">
        <x:v>A-</x:v>
      </x:c>
      <x:c r="AE45" s="12" t="str">
        <x:v>A definir</x:v>
      </x:c>
      <x:c r="AF45" s="12" t="str">
        <x:v>Pingente / anel feminino</x:v>
      </x:c>
      <x:c r="AG45" s="12" t="str">
        <x:v>Pingente / anel feminino</x:v>
      </x:c>
      <x:c r="AH45" s="12" t="str">
        <x:v>Coleção</x:v>
      </x:c>
      <x:c r="AI45" s="12" t="str"/>
      <x:c r="AJ45" s="12" t="str"/>
      <x:c r="AK45" s="12" t="str"/>
      <x:c r="AL45" s="12" t="str"/>
      <x:c r="AM45" s="12" t="str">
        <x:v>Não informado</x:v>
      </x:c>
      <x:c r="AN45" s="12" t="str"/>
      <x:c r="AO45" s="12" t="str">
        <x:v>2026-07-01</x:v>
      </x:c>
      <x:c r="AP45" s="12" t="str">
        <x:v>2026-07-19</x:v>
      </x:c>
      <x:c r="AQ45" s="12" t="str">
        <x:v>Alta</x:v>
      </x:c>
      <x:c r="AR45" s="12" t="str">
        <x:v>Inventário mestre completo atualizado em 2026-07-01</x:v>
      </x:c>
      <x:c r="AS45" s="12" t="str">
        <x:v>Precificação individual pendente</x:v>
      </x:c>
      <x:c r="AT45" s="12" t="str">
        <x:v>Avaliação visual; tratamentos não avaliados; confirmar naturalidade/tratamento em laboratório.</x:v>
      </x:c>
    </x:row>
    <x:row r="46">
      <x:c r="A46" s="12" t="str">
        <x:v>DG-EM-045</x:v>
      </x:c>
      <x:c r="B46" s="12" t="str"/>
      <x:c r="C46" s="12" t="str">
        <x:v>Emerald Collection</x:v>
      </x:c>
      <x:c r="D46" s="12" t="str">
        <x:v>Esmeraldas</x:v>
      </x:c>
      <x:c r="E46" s="12" t="str">
        <x:v>Berilo</x:v>
      </x:c>
      <x:c r="F46" s="12" t="str">
        <x:v>Esmeralda</x:v>
      </x:c>
      <x:c r="G46" s="12" t="str">
        <x:v>Gema individual</x:v>
      </x:c>
      <x:c r="H46" s="18" t="n">
        <x:v>1</x:v>
      </x:c>
      <x:c r="I46" s="12" t="str">
        <x:v>Gota / Pêra</x:v>
      </x:c>
      <x:c r="J46" s="12" t="str">
        <x:v>12 x 8 x 3</x:v>
      </x:c>
      <x:c r="K46" s="14" t="n">
        <x:v>1.445</x:v>
      </x:c>
      <x:c r="L46" s="12" t="str">
        <x:v>Sim</x:v>
      </x:c>
      <x:c r="M46" s="12" t="str">
        <x:v>Balança / informado</x:v>
      </x:c>
      <x:c r="N46" s="12" t="str">
        <x:v>Verde médio a intenso</x:v>
      </x:c>
      <x:c r="O46" s="12" t="str">
        <x:v>Semi-transparente a translúcida</x:v>
      </x:c>
      <x:c r="P46" s="12" t="str"/>
      <x:c r="Q46" s="12" t="str">
        <x:v>Não avaliado / não informado</x:v>
      </x:c>
      <x:c r="R46" s="12" t="str">
        <x:v>Não</x:v>
      </x:c>
      <x:c r="S46" s="12" t="str"/>
      <x:c r="T46" s="12" t="str"/>
      <x:c r="U46" s="20"/>
      <x:c r="V46" s="20"/>
      <x:c r="W46" s="20"/>
      <x:c r="X46" s="20"/>
      <x:c r="Y46" s="20"/>
      <x:c r="Z46" s="20"/>
      <x:c r="AA46" s="20"/>
      <x:c r="AB46" s="12" t="str">
        <x:v>Pendente de precificação individual</x:v>
      </x:c>
      <x:c r="AC46" s="16" t="n">
        <x:v>8.2</x:v>
      </x:c>
      <x:c r="AD46" s="12" t="str">
        <x:v>B+</x:v>
      </x:c>
      <x:c r="AE46" s="12" t="str">
        <x:v>A definir</x:v>
      </x:c>
      <x:c r="AF46" s="12" t="str">
        <x:v>Pingente / brincos / anel delicado</x:v>
      </x:c>
      <x:c r="AG46" s="12" t="str">
        <x:v>Pingente / brincos / anel delicado</x:v>
      </x:c>
      <x:c r="AH46" s="12" t="str">
        <x:v>Coleção</x:v>
      </x:c>
      <x:c r="AI46" s="12" t="str"/>
      <x:c r="AJ46" s="12" t="str"/>
      <x:c r="AK46" s="12" t="str"/>
      <x:c r="AL46" s="12" t="str"/>
      <x:c r="AM46" s="12" t="str">
        <x:v>Não informado</x:v>
      </x:c>
      <x:c r="AN46" s="12" t="str"/>
      <x:c r="AO46" s="12" t="str">
        <x:v>2026-07-01</x:v>
      </x:c>
      <x:c r="AP46" s="12" t="str">
        <x:v>2026-07-19</x:v>
      </x:c>
      <x:c r="AQ46" s="12" t="str">
        <x:v>Alta</x:v>
      </x:c>
      <x:c r="AR46" s="12" t="str">
        <x:v>Inventário mestre completo atualizado em 2026-07-01</x:v>
      </x:c>
      <x:c r="AS46" s="12" t="str">
        <x:v>Precificação individual pendente</x:v>
      </x:c>
      <x:c r="AT46" s="12" t="str">
        <x:v>Avaliação visual; tratamentos não avaliados; confirmar naturalidade/tratamento em laboratório.</x:v>
      </x:c>
    </x:row>
    <x:row r="47">
      <x:c r="A47" s="12" t="str">
        <x:v>DG-EM-046</x:v>
      </x:c>
      <x:c r="B47" s="12" t="str"/>
      <x:c r="C47" s="12" t="str">
        <x:v>Emerald Collection</x:v>
      </x:c>
      <x:c r="D47" s="12" t="str">
        <x:v>Esmeraldas</x:v>
      </x:c>
      <x:c r="E47" s="12" t="str">
        <x:v>Berilo</x:v>
      </x:c>
      <x:c r="F47" s="12" t="str">
        <x:v>Esmeralda</x:v>
      </x:c>
      <x:c r="G47" s="12" t="str">
        <x:v>Gema individual</x:v>
      </x:c>
      <x:c r="H47" s="18" t="n">
        <x:v>1</x:v>
      </x:c>
      <x:c r="I47" s="12" t="str">
        <x:v>Gota</x:v>
      </x:c>
      <x:c r="J47" s="12" t="str">
        <x:v>11 x 7 x 2,5</x:v>
      </x:c>
      <x:c r="K47" s="14" t="n">
        <x:v>1.05</x:v>
      </x:c>
      <x:c r="L47" s="12" t="str">
        <x:v>Sim</x:v>
      </x:c>
      <x:c r="M47" s="12" t="str">
        <x:v>Balança / informado</x:v>
      </x:c>
      <x:c r="N47" s="12" t="str">
        <x:v>Verde médio</x:v>
      </x:c>
      <x:c r="O47" s="12" t="str">
        <x:v>Semi-transparente a translúcida</x:v>
      </x:c>
      <x:c r="P47" s="12" t="str"/>
      <x:c r="Q47" s="12" t="str">
        <x:v>Não avaliado / não informado</x:v>
      </x:c>
      <x:c r="R47" s="12" t="str">
        <x:v>Não</x:v>
      </x:c>
      <x:c r="S47" s="12" t="str"/>
      <x:c r="T47" s="12" t="str"/>
      <x:c r="U47" s="20"/>
      <x:c r="V47" s="20"/>
      <x:c r="W47" s="20"/>
      <x:c r="X47" s="20"/>
      <x:c r="Y47" s="20"/>
      <x:c r="Z47" s="20"/>
      <x:c r="AA47" s="20"/>
      <x:c r="AB47" s="12" t="str">
        <x:v>Pendente de precificação individual</x:v>
      </x:c>
      <x:c r="AC47" s="16" t="n">
        <x:v>8</x:v>
      </x:c>
      <x:c r="AD47" s="12" t="str">
        <x:v>B+</x:v>
      </x:c>
      <x:c r="AE47" s="12" t="str">
        <x:v>A definir</x:v>
      </x:c>
      <x:c r="AF47" s="12" t="str">
        <x:v>Pingente / anel delicado</x:v>
      </x:c>
      <x:c r="AG47" s="12" t="str">
        <x:v>Pingente / anel delicado</x:v>
      </x:c>
      <x:c r="AH47" s="12" t="str">
        <x:v>Coleção</x:v>
      </x:c>
      <x:c r="AI47" s="12" t="str"/>
      <x:c r="AJ47" s="12" t="str"/>
      <x:c r="AK47" s="12" t="str"/>
      <x:c r="AL47" s="12" t="str"/>
      <x:c r="AM47" s="12" t="str">
        <x:v>Não informado</x:v>
      </x:c>
      <x:c r="AN47" s="12" t="str"/>
      <x:c r="AO47" s="12" t="str">
        <x:v>2026-07-01</x:v>
      </x:c>
      <x:c r="AP47" s="12" t="str">
        <x:v>2026-07-19</x:v>
      </x:c>
      <x:c r="AQ47" s="12" t="str">
        <x:v>Alta</x:v>
      </x:c>
      <x:c r="AR47" s="12" t="str">
        <x:v>Inventário mestre completo atualizado em 2026-07-01</x:v>
      </x:c>
      <x:c r="AS47" s="12" t="str">
        <x:v>Precificação individual pendente</x:v>
      </x:c>
      <x:c r="AT47" s="12" t="str">
        <x:v>Avaliação visual; tratamentos não avaliados; confirmar naturalidade/tratamento em laboratório.</x:v>
      </x:c>
    </x:row>
    <x:row r="48">
      <x:c r="A48" s="12" t="str">
        <x:v>DG-EM-047</x:v>
      </x:c>
      <x:c r="B48" s="12" t="str"/>
      <x:c r="C48" s="12" t="str">
        <x:v>Emerald Collection</x:v>
      </x:c>
      <x:c r="D48" s="12" t="str">
        <x:v>Esmeraldas</x:v>
      </x:c>
      <x:c r="E48" s="12" t="str">
        <x:v>Berilo</x:v>
      </x:c>
      <x:c r="F48" s="12" t="str">
        <x:v>Esmeralda</x:v>
      </x:c>
      <x:c r="G48" s="12" t="str">
        <x:v>Gema individual</x:v>
      </x:c>
      <x:c r="H48" s="18" t="n">
        <x:v>1</x:v>
      </x:c>
      <x:c r="I48" s="12" t="str">
        <x:v>Gota</x:v>
      </x:c>
      <x:c r="J48" s="12" t="str">
        <x:v>9 x 7 x 3</x:v>
      </x:c>
      <x:c r="K48" s="14" t="n">
        <x:v>1.145</x:v>
      </x:c>
      <x:c r="L48" s="12" t="str">
        <x:v>Sim</x:v>
      </x:c>
      <x:c r="M48" s="12" t="str">
        <x:v>Balança / informado</x:v>
      </x:c>
      <x:c r="N48" s="12" t="str">
        <x:v>Verde médio</x:v>
      </x:c>
      <x:c r="O48" s="12" t="str">
        <x:v>Semi-transparente a translúcida</x:v>
      </x:c>
      <x:c r="P48" s="12" t="str"/>
      <x:c r="Q48" s="12" t="str">
        <x:v>Não avaliado / não informado</x:v>
      </x:c>
      <x:c r="R48" s="12" t="str">
        <x:v>Não</x:v>
      </x:c>
      <x:c r="S48" s="12" t="str"/>
      <x:c r="T48" s="12" t="str"/>
      <x:c r="U48" s="20"/>
      <x:c r="V48" s="20"/>
      <x:c r="W48" s="20"/>
      <x:c r="X48" s="20"/>
      <x:c r="Y48" s="20"/>
      <x:c r="Z48" s="20"/>
      <x:c r="AA48" s="20"/>
      <x:c r="AB48" s="12" t="str">
        <x:v>Pendente de precificação individual</x:v>
      </x:c>
      <x:c r="AC48" s="16" t="n">
        <x:v>8</x:v>
      </x:c>
      <x:c r="AD48" s="12" t="str">
        <x:v>B+</x:v>
      </x:c>
      <x:c r="AE48" s="12" t="str">
        <x:v>A definir</x:v>
      </x:c>
      <x:c r="AF48" s="12" t="str">
        <x:v>Pingente / anel delicado</x:v>
      </x:c>
      <x:c r="AG48" s="12" t="str">
        <x:v>Pingente / anel delicado</x:v>
      </x:c>
      <x:c r="AH48" s="12" t="str">
        <x:v>Coleção</x:v>
      </x:c>
      <x:c r="AI48" s="12" t="str"/>
      <x:c r="AJ48" s="12" t="str"/>
      <x:c r="AK48" s="12" t="str"/>
      <x:c r="AL48" s="12" t="str"/>
      <x:c r="AM48" s="12" t="str">
        <x:v>Não informado</x:v>
      </x:c>
      <x:c r="AN48" s="12" t="str"/>
      <x:c r="AO48" s="12" t="str">
        <x:v>2026-07-01</x:v>
      </x:c>
      <x:c r="AP48" s="12" t="str">
        <x:v>2026-07-19</x:v>
      </x:c>
      <x:c r="AQ48" s="12" t="str">
        <x:v>Alta</x:v>
      </x:c>
      <x:c r="AR48" s="12" t="str">
        <x:v>Inventário mestre completo atualizado em 2026-07-01</x:v>
      </x:c>
      <x:c r="AS48" s="12" t="str">
        <x:v>Precificação individual pendente</x:v>
      </x:c>
      <x:c r="AT48" s="12" t="str">
        <x:v>Avaliação visual; tratamentos não avaliados; confirmar naturalidade/tratamento em laboratório.</x:v>
      </x:c>
    </x:row>
    <x:row r="49">
      <x:c r="A49" s="12" t="str">
        <x:v>DG-EM-048</x:v>
      </x:c>
      <x:c r="B49" s="12" t="str"/>
      <x:c r="C49" s="12" t="str">
        <x:v>Emerald Collection</x:v>
      </x:c>
      <x:c r="D49" s="12" t="str">
        <x:v>Esmeraldas</x:v>
      </x:c>
      <x:c r="E49" s="12" t="str">
        <x:v>Berilo</x:v>
      </x:c>
      <x:c r="F49" s="12" t="str">
        <x:v>Esmeralda</x:v>
      </x:c>
      <x:c r="G49" s="12" t="str">
        <x:v>Gema individual</x:v>
      </x:c>
      <x:c r="H49" s="18" t="n">
        <x:v>1</x:v>
      </x:c>
      <x:c r="I49" s="12" t="str">
        <x:v>Gota</x:v>
      </x:c>
      <x:c r="J49" s="12" t="str">
        <x:v>9 x 6 x 3</x:v>
      </x:c>
      <x:c r="K49" s="14" t="n">
        <x:v>0.975</x:v>
      </x:c>
      <x:c r="L49" s="12" t="str">
        <x:v>Sim</x:v>
      </x:c>
      <x:c r="M49" s="12" t="str">
        <x:v>Balança / informado</x:v>
      </x:c>
      <x:c r="N49" s="12" t="str">
        <x:v>Verde médio</x:v>
      </x:c>
      <x:c r="O49" s="12" t="str">
        <x:v>Semi-transparente a translúcida</x:v>
      </x:c>
      <x:c r="P49" s="12" t="str"/>
      <x:c r="Q49" s="12" t="str">
        <x:v>Não avaliado / não informado</x:v>
      </x:c>
      <x:c r="R49" s="12" t="str">
        <x:v>Não</x:v>
      </x:c>
      <x:c r="S49" s="12" t="str"/>
      <x:c r="T49" s="12" t="str"/>
      <x:c r="U49" s="20"/>
      <x:c r="V49" s="20"/>
      <x:c r="W49" s="20"/>
      <x:c r="X49" s="20"/>
      <x:c r="Y49" s="20"/>
      <x:c r="Z49" s="20"/>
      <x:c r="AA49" s="20"/>
      <x:c r="AB49" s="12" t="str">
        <x:v>Pendente de precificação individual</x:v>
      </x:c>
      <x:c r="AC49" s="16" t="n">
        <x:v>8</x:v>
      </x:c>
      <x:c r="AD49" s="12" t="str">
        <x:v>B+</x:v>
      </x:c>
      <x:c r="AE49" s="12" t="str">
        <x:v>A definir</x:v>
      </x:c>
      <x:c r="AF49" s="12" t="str">
        <x:v>Pingente / brinco / anel delicado</x:v>
      </x:c>
      <x:c r="AG49" s="12" t="str">
        <x:v>Pingente / brinco / anel delicado</x:v>
      </x:c>
      <x:c r="AH49" s="12" t="str">
        <x:v>Coleção</x:v>
      </x:c>
      <x:c r="AI49" s="12" t="str"/>
      <x:c r="AJ49" s="12" t="str"/>
      <x:c r="AK49" s="12" t="str"/>
      <x:c r="AL49" s="12" t="str"/>
      <x:c r="AM49" s="12" t="str">
        <x:v>Não informado</x:v>
      </x:c>
      <x:c r="AN49" s="12" t="str"/>
      <x:c r="AO49" s="12" t="str">
        <x:v>2026-07-01</x:v>
      </x:c>
      <x:c r="AP49" s="12" t="str">
        <x:v>2026-07-19</x:v>
      </x:c>
      <x:c r="AQ49" s="12" t="str">
        <x:v>Alta</x:v>
      </x:c>
      <x:c r="AR49" s="12" t="str">
        <x:v>Inventário mestre completo atualizado em 2026-07-01</x:v>
      </x:c>
      <x:c r="AS49" s="12" t="str">
        <x:v>Precificação individual pendente</x:v>
      </x:c>
      <x:c r="AT49" s="12" t="str">
        <x:v>Avaliação visual; tratamentos não avaliados; confirmar naturalidade/tratamento em laboratório.</x:v>
      </x:c>
    </x:row>
    <x:row r="50">
      <x:c r="A50" s="12" t="str">
        <x:v>DG-EM-049</x:v>
      </x:c>
      <x:c r="B50" s="12" t="str"/>
      <x:c r="C50" s="12" t="str">
        <x:v>Emerald Collection</x:v>
      </x:c>
      <x:c r="D50" s="12" t="str">
        <x:v>Esmeraldas</x:v>
      </x:c>
      <x:c r="E50" s="12" t="str">
        <x:v>Berilo</x:v>
      </x:c>
      <x:c r="F50" s="12" t="str">
        <x:v>Esmeralda</x:v>
      </x:c>
      <x:c r="G50" s="12" t="str">
        <x:v>Gema individual</x:v>
      </x:c>
      <x:c r="H50" s="18" t="n">
        <x:v>1</x:v>
      </x:c>
      <x:c r="I50" s="12" t="str">
        <x:v>Gota</x:v>
      </x:c>
      <x:c r="J50" s="12" t="str">
        <x:v>9 x 6 x 3</x:v>
      </x:c>
      <x:c r="K50" s="14" t="n">
        <x:v>0.695</x:v>
      </x:c>
      <x:c r="L50" s="12" t="str">
        <x:v>Sim</x:v>
      </x:c>
      <x:c r="M50" s="12" t="str">
        <x:v>Balança / informado</x:v>
      </x:c>
      <x:c r="N50" s="12" t="str">
        <x:v>Verde intenso</x:v>
      </x:c>
      <x:c r="O50" s="12" t="str">
        <x:v>Semi-transparente a translúcida</x:v>
      </x:c>
      <x:c r="P50" s="12" t="str"/>
      <x:c r="Q50" s="12" t="str">
        <x:v>Não avaliado / não informado</x:v>
      </x:c>
      <x:c r="R50" s="12" t="str">
        <x:v>Não</x:v>
      </x:c>
      <x:c r="S50" s="12" t="str"/>
      <x:c r="T50" s="12" t="str"/>
      <x:c r="U50" s="20"/>
      <x:c r="V50" s="20"/>
      <x:c r="W50" s="20"/>
      <x:c r="X50" s="20"/>
      <x:c r="Y50" s="20"/>
      <x:c r="Z50" s="20"/>
      <x:c r="AA50" s="20"/>
      <x:c r="AB50" s="12" t="str">
        <x:v>Pendente de precificação individual</x:v>
      </x:c>
      <x:c r="AC50" s="16" t="n">
        <x:v>8</x:v>
      </x:c>
      <x:c r="AD50" s="12" t="str">
        <x:v>B+</x:v>
      </x:c>
      <x:c r="AE50" s="12" t="str">
        <x:v>A definir</x:v>
      </x:c>
      <x:c r="AF50" s="12" t="str">
        <x:v>Pingente pequeno / brinco</x:v>
      </x:c>
      <x:c r="AG50" s="12" t="str">
        <x:v>Pingente pequeno / brinco</x:v>
      </x:c>
      <x:c r="AH50" s="12" t="str">
        <x:v>Coleção</x:v>
      </x:c>
      <x:c r="AI50" s="12" t="str"/>
      <x:c r="AJ50" s="12" t="str"/>
      <x:c r="AK50" s="12" t="str"/>
      <x:c r="AL50" s="12" t="str"/>
      <x:c r="AM50" s="12" t="str">
        <x:v>Não informado</x:v>
      </x:c>
      <x:c r="AN50" s="12" t="str"/>
      <x:c r="AO50" s="12" t="str">
        <x:v>2026-07-01</x:v>
      </x:c>
      <x:c r="AP50" s="12" t="str">
        <x:v>2026-07-19</x:v>
      </x:c>
      <x:c r="AQ50" s="12" t="str">
        <x:v>Alta</x:v>
      </x:c>
      <x:c r="AR50" s="12" t="str">
        <x:v>Inventário mestre completo atualizado em 2026-07-01</x:v>
      </x:c>
      <x:c r="AS50" s="12" t="str">
        <x:v>Precificação individual pendente</x:v>
      </x:c>
      <x:c r="AT50" s="12" t="str">
        <x:v>Avaliação visual; tratamentos não avaliados; confirmar naturalidade/tratamento em laboratório.</x:v>
      </x:c>
    </x:row>
    <x:row r="51">
      <x:c r="A51" s="12" t="str">
        <x:v>DG-EM-050</x:v>
      </x:c>
      <x:c r="B51" s="12" t="str"/>
      <x:c r="C51" s="12" t="str">
        <x:v>Emerald Collection</x:v>
      </x:c>
      <x:c r="D51" s="12" t="str">
        <x:v>Esmeraldas</x:v>
      </x:c>
      <x:c r="E51" s="12" t="str">
        <x:v>Berilo</x:v>
      </x:c>
      <x:c r="F51" s="12" t="str">
        <x:v>Esmeralda</x:v>
      </x:c>
      <x:c r="G51" s="12" t="str">
        <x:v>Gema individual</x:v>
      </x:c>
      <x:c r="H51" s="18" t="n">
        <x:v>1</x:v>
      </x:c>
      <x:c r="I51" s="12" t="str">
        <x:v>Gota</x:v>
      </x:c>
      <x:c r="J51" s="12" t="str">
        <x:v>11 x 6 x 4</x:v>
      </x:c>
      <x:c r="K51" s="14" t="n">
        <x:v>1.105</x:v>
      </x:c>
      <x:c r="L51" s="12" t="str">
        <x:v>Sim</x:v>
      </x:c>
      <x:c r="M51" s="12" t="str">
        <x:v>Balança / informado</x:v>
      </x:c>
      <x:c r="N51" s="12" t="str">
        <x:v>Verde claro a médio</x:v>
      </x:c>
      <x:c r="O51" s="12" t="str">
        <x:v>Semi-transparente a translúcida</x:v>
      </x:c>
      <x:c r="P51" s="12" t="str"/>
      <x:c r="Q51" s="12" t="str">
        <x:v>Não avaliado / não informado</x:v>
      </x:c>
      <x:c r="R51" s="12" t="str">
        <x:v>Não</x:v>
      </x:c>
      <x:c r="S51" s="12" t="str"/>
      <x:c r="T51" s="12" t="str"/>
      <x:c r="U51" s="20"/>
      <x:c r="V51" s="20"/>
      <x:c r="W51" s="20"/>
      <x:c r="X51" s="20"/>
      <x:c r="Y51" s="20"/>
      <x:c r="Z51" s="20"/>
      <x:c r="AA51" s="20"/>
      <x:c r="AB51" s="12" t="str">
        <x:v>Pendente de precificação individual</x:v>
      </x:c>
      <x:c r="AC51" s="16" t="n">
        <x:v>8</x:v>
      </x:c>
      <x:c r="AD51" s="12" t="str">
        <x:v>B+</x:v>
      </x:c>
      <x:c r="AE51" s="12" t="str">
        <x:v>A definir</x:v>
      </x:c>
      <x:c r="AF51" s="12" t="str">
        <x:v>Pingente / anel delicado</x:v>
      </x:c>
      <x:c r="AG51" s="12" t="str">
        <x:v>Pingente / anel delicado</x:v>
      </x:c>
      <x:c r="AH51" s="12" t="str">
        <x:v>Coleção</x:v>
      </x:c>
      <x:c r="AI51" s="12" t="str"/>
      <x:c r="AJ51" s="12" t="str"/>
      <x:c r="AK51" s="12" t="str"/>
      <x:c r="AL51" s="12" t="str"/>
      <x:c r="AM51" s="12" t="str">
        <x:v>Não informado</x:v>
      </x:c>
      <x:c r="AN51" s="12" t="str"/>
      <x:c r="AO51" s="12" t="str">
        <x:v>2026-07-01</x:v>
      </x:c>
      <x:c r="AP51" s="12" t="str">
        <x:v>2026-07-19</x:v>
      </x:c>
      <x:c r="AQ51" s="12" t="str">
        <x:v>Alta</x:v>
      </x:c>
      <x:c r="AR51" s="12" t="str">
        <x:v>Inventário mestre completo atualizado em 2026-07-01</x:v>
      </x:c>
      <x:c r="AS51" s="12" t="str">
        <x:v>Precificação individual pendente</x:v>
      </x:c>
      <x:c r="AT51" s="12" t="str">
        <x:v>Avaliação visual; tratamentos não avaliados; confirmar naturalidade/tratamento em laboratório.</x:v>
      </x:c>
    </x:row>
    <x:row r="52">
      <x:c r="A52" s="12" t="str">
        <x:v>DG-EM-051</x:v>
      </x:c>
      <x:c r="B52" s="12" t="str"/>
      <x:c r="C52" s="12" t="str">
        <x:v>Emerald Collection</x:v>
      </x:c>
      <x:c r="D52" s="12" t="str">
        <x:v>Esmeraldas</x:v>
      </x:c>
      <x:c r="E52" s="12" t="str">
        <x:v>Berilo</x:v>
      </x:c>
      <x:c r="F52" s="12" t="str">
        <x:v>Esmeralda</x:v>
      </x:c>
      <x:c r="G52" s="12" t="str">
        <x:v>Gema individual</x:v>
      </x:c>
      <x:c r="H52" s="18" t="n">
        <x:v>1</x:v>
      </x:c>
      <x:c r="I52" s="12" t="str">
        <x:v>Gota</x:v>
      </x:c>
      <x:c r="J52" s="12" t="str">
        <x:v>10 x 5 x 3</x:v>
      </x:c>
      <x:c r="K52" s="14" t="n">
        <x:v>0.905</x:v>
      </x:c>
      <x:c r="L52" s="12" t="str">
        <x:v>Sim</x:v>
      </x:c>
      <x:c r="M52" s="12" t="str">
        <x:v>Balança / informado</x:v>
      </x:c>
      <x:c r="N52" s="12" t="str">
        <x:v>Verde intenso</x:v>
      </x:c>
      <x:c r="O52" s="12" t="str">
        <x:v>Semi-transparente a translúcida</x:v>
      </x:c>
      <x:c r="P52" s="12" t="str"/>
      <x:c r="Q52" s="12" t="str">
        <x:v>Não avaliado / não informado</x:v>
      </x:c>
      <x:c r="R52" s="12" t="str">
        <x:v>Não</x:v>
      </x:c>
      <x:c r="S52" s="12" t="str"/>
      <x:c r="T52" s="12" t="str"/>
      <x:c r="U52" s="20"/>
      <x:c r="V52" s="20"/>
      <x:c r="W52" s="20"/>
      <x:c r="X52" s="20"/>
      <x:c r="Y52" s="20"/>
      <x:c r="Z52" s="20"/>
      <x:c r="AA52" s="20"/>
      <x:c r="AB52" s="12" t="str">
        <x:v>Pendente de precificação individual</x:v>
      </x:c>
      <x:c r="AC52" s="16" t="n">
        <x:v>8</x:v>
      </x:c>
      <x:c r="AD52" s="12" t="str">
        <x:v>B+</x:v>
      </x:c>
      <x:c r="AE52" s="12" t="str">
        <x:v>A definir</x:v>
      </x:c>
      <x:c r="AF52" s="12" t="str">
        <x:v>Pingente pequeno / brinco</x:v>
      </x:c>
      <x:c r="AG52" s="12" t="str">
        <x:v>Pingente pequeno / brinco</x:v>
      </x:c>
      <x:c r="AH52" s="12" t="str">
        <x:v>Coleção</x:v>
      </x:c>
      <x:c r="AI52" s="12" t="str"/>
      <x:c r="AJ52" s="12" t="str"/>
      <x:c r="AK52" s="12" t="str"/>
      <x:c r="AL52" s="12" t="str"/>
      <x:c r="AM52" s="12" t="str">
        <x:v>Não informado</x:v>
      </x:c>
      <x:c r="AN52" s="12" t="str"/>
      <x:c r="AO52" s="12" t="str">
        <x:v>2026-07-01</x:v>
      </x:c>
      <x:c r="AP52" s="12" t="str">
        <x:v>2026-07-19</x:v>
      </x:c>
      <x:c r="AQ52" s="12" t="str">
        <x:v>Alta</x:v>
      </x:c>
      <x:c r="AR52" s="12" t="str">
        <x:v>Inventário mestre completo atualizado em 2026-07-01</x:v>
      </x:c>
      <x:c r="AS52" s="12" t="str">
        <x:v>Precificação individual pendente</x:v>
      </x:c>
      <x:c r="AT52" s="12" t="str">
        <x:v>Avaliação visual; tratamentos não avaliados; confirmar naturalidade/tratamento em laboratório.</x:v>
      </x:c>
    </x:row>
    <x:row r="53">
      <x:c r="A53" s="12" t="str">
        <x:v>DG-EM-052</x:v>
      </x:c>
      <x:c r="B53" s="12" t="str"/>
      <x:c r="C53" s="12" t="str">
        <x:v>Emerald Collection</x:v>
      </x:c>
      <x:c r="D53" s="12" t="str">
        <x:v>Esmeraldas</x:v>
      </x:c>
      <x:c r="E53" s="12" t="str">
        <x:v>Berilo</x:v>
      </x:c>
      <x:c r="F53" s="12" t="str">
        <x:v>Esmeralda</x:v>
      </x:c>
      <x:c r="G53" s="12" t="str">
        <x:v>Gema individual</x:v>
      </x:c>
      <x:c r="H53" s="18" t="n">
        <x:v>1</x:v>
      </x:c>
      <x:c r="I53" s="12" t="str">
        <x:v>Oval</x:v>
      </x:c>
      <x:c r="J53" s="12" t="str">
        <x:v>9 x 7 x 3</x:v>
      </x:c>
      <x:c r="K53" s="14" t="n">
        <x:v>1.43</x:v>
      </x:c>
      <x:c r="L53" s="12" t="str">
        <x:v>Sim</x:v>
      </x:c>
      <x:c r="M53" s="12" t="str">
        <x:v>Balança / informado</x:v>
      </x:c>
      <x:c r="N53" s="12" t="str">
        <x:v>Verde médio a intenso</x:v>
      </x:c>
      <x:c r="O53" s="12" t="str">
        <x:v>Semi-transparente a translúcida</x:v>
      </x:c>
      <x:c r="P53" s="12" t="str"/>
      <x:c r="Q53" s="12" t="str">
        <x:v>Não avaliado / não informado</x:v>
      </x:c>
      <x:c r="R53" s="12" t="str">
        <x:v>Não</x:v>
      </x:c>
      <x:c r="S53" s="12" t="str"/>
      <x:c r="T53" s="12" t="str"/>
      <x:c r="U53" s="20"/>
      <x:c r="V53" s="20"/>
      <x:c r="W53" s="20"/>
      <x:c r="X53" s="20"/>
      <x:c r="Y53" s="20"/>
      <x:c r="Z53" s="20"/>
      <x:c r="AA53" s="20"/>
      <x:c r="AB53" s="12" t="str">
        <x:v>Pendente de precificação individual</x:v>
      </x:c>
      <x:c r="AC53" s="16" t="n">
        <x:v>8.1</x:v>
      </x:c>
      <x:c r="AD53" s="12" t="str">
        <x:v>B+</x:v>
      </x:c>
      <x:c r="AE53" s="12" t="str">
        <x:v>A definir</x:v>
      </x:c>
      <x:c r="AF53" s="12" t="str">
        <x:v>Anel / pingente / brincos</x:v>
      </x:c>
      <x:c r="AG53" s="12" t="str">
        <x:v>Anel / pingente / brincos</x:v>
      </x:c>
      <x:c r="AH53" s="12" t="str">
        <x:v>Coleção</x:v>
      </x:c>
      <x:c r="AI53" s="12" t="str"/>
      <x:c r="AJ53" s="12" t="str"/>
      <x:c r="AK53" s="12" t="str"/>
      <x:c r="AL53" s="12" t="str"/>
      <x:c r="AM53" s="12" t="str">
        <x:v>Não informado</x:v>
      </x:c>
      <x:c r="AN53" s="12" t="str"/>
      <x:c r="AO53" s="12" t="str">
        <x:v>2026-07-01</x:v>
      </x:c>
      <x:c r="AP53" s="12" t="str">
        <x:v>2026-07-19</x:v>
      </x:c>
      <x:c r="AQ53" s="12" t="str">
        <x:v>Alta</x:v>
      </x:c>
      <x:c r="AR53" s="12" t="str">
        <x:v>Inventário mestre completo atualizado em 2026-07-01</x:v>
      </x:c>
      <x:c r="AS53" s="12" t="str">
        <x:v>Precificação individual pendente</x:v>
      </x:c>
      <x:c r="AT53" s="12" t="str">
        <x:v>Avaliação visual; tratamentos não avaliados; confirmar naturalidade/tratamento em laboratório.</x:v>
      </x:c>
    </x:row>
    <x:row r="54">
      <x:c r="A54" s="12" t="str">
        <x:v>DG-EM-053</x:v>
      </x:c>
      <x:c r="B54" s="12" t="str"/>
      <x:c r="C54" s="12" t="str">
        <x:v>Emerald Collection</x:v>
      </x:c>
      <x:c r="D54" s="12" t="str">
        <x:v>Esmeraldas</x:v>
      </x:c>
      <x:c r="E54" s="12" t="str">
        <x:v>Berilo</x:v>
      </x:c>
      <x:c r="F54" s="12" t="str">
        <x:v>Esmeralda</x:v>
      </x:c>
      <x:c r="G54" s="12" t="str">
        <x:v>Gema individual</x:v>
      </x:c>
      <x:c r="H54" s="18" t="n">
        <x:v>1</x:v>
      </x:c>
      <x:c r="I54" s="12" t="str">
        <x:v>Oval</x:v>
      </x:c>
      <x:c r="J54" s="12" t="str">
        <x:v>8 x 7 x 4</x:v>
      </x:c>
      <x:c r="K54" s="14" t="n">
        <x:v>1</x:v>
      </x:c>
      <x:c r="L54" s="12" t="str">
        <x:v>Sim</x:v>
      </x:c>
      <x:c r="M54" s="12" t="str">
        <x:v>Balança / informado</x:v>
      </x:c>
      <x:c r="N54" s="12" t="str">
        <x:v>Verde intenso</x:v>
      </x:c>
      <x:c r="O54" s="12" t="str">
        <x:v>Semi-transparente a translúcida</x:v>
      </x:c>
      <x:c r="P54" s="12" t="str"/>
      <x:c r="Q54" s="12" t="str">
        <x:v>Não avaliado / não informado</x:v>
      </x:c>
      <x:c r="R54" s="12" t="str">
        <x:v>Não</x:v>
      </x:c>
      <x:c r="S54" s="12" t="str"/>
      <x:c r="T54" s="12" t="str"/>
      <x:c r="U54" s="20"/>
      <x:c r="V54" s="20"/>
      <x:c r="W54" s="20"/>
      <x:c r="X54" s="20"/>
      <x:c r="Y54" s="20"/>
      <x:c r="Z54" s="20"/>
      <x:c r="AA54" s="20"/>
      <x:c r="AB54" s="12" t="str">
        <x:v>Pendente de precificação individual</x:v>
      </x:c>
      <x:c r="AC54" s="16" t="n">
        <x:v>8.1</x:v>
      </x:c>
      <x:c r="AD54" s="12" t="str">
        <x:v>B+</x:v>
      </x:c>
      <x:c r="AE54" s="12" t="str">
        <x:v>A definir</x:v>
      </x:c>
      <x:c r="AF54" s="12" t="str">
        <x:v>Anel delicado / brinco</x:v>
      </x:c>
      <x:c r="AG54" s="12" t="str">
        <x:v>Anel delicado / brinco</x:v>
      </x:c>
      <x:c r="AH54" s="12" t="str">
        <x:v>Coleção</x:v>
      </x:c>
      <x:c r="AI54" s="12" t="str"/>
      <x:c r="AJ54" s="12" t="str"/>
      <x:c r="AK54" s="12" t="str"/>
      <x:c r="AL54" s="12" t="str"/>
      <x:c r="AM54" s="12" t="str">
        <x:v>Não informado</x:v>
      </x:c>
      <x:c r="AN54" s="12" t="str"/>
      <x:c r="AO54" s="12" t="str">
        <x:v>2026-07-01</x:v>
      </x:c>
      <x:c r="AP54" s="12" t="str">
        <x:v>2026-07-19</x:v>
      </x:c>
      <x:c r="AQ54" s="12" t="str">
        <x:v>Alta</x:v>
      </x:c>
      <x:c r="AR54" s="12" t="str">
        <x:v>Inventário mestre completo atualizado em 2026-07-01</x:v>
      </x:c>
      <x:c r="AS54" s="12" t="str">
        <x:v>Precificação individual pendente</x:v>
      </x:c>
      <x:c r="AT54" s="12" t="str">
        <x:v>Avaliação visual; tratamentos não avaliados; confirmar naturalidade/tratamento em laboratório.</x:v>
      </x:c>
    </x:row>
    <x:row r="55">
      <x:c r="A55" s="12" t="str">
        <x:v>DG-EM-054</x:v>
      </x:c>
      <x:c r="B55" s="12" t="str"/>
      <x:c r="C55" s="12" t="str">
        <x:v>Emerald Collection</x:v>
      </x:c>
      <x:c r="D55" s="12" t="str">
        <x:v>Esmeraldas</x:v>
      </x:c>
      <x:c r="E55" s="12" t="str">
        <x:v>Berilo</x:v>
      </x:c>
      <x:c r="F55" s="12" t="str">
        <x:v>Esmeralda</x:v>
      </x:c>
      <x:c r="G55" s="12" t="str">
        <x:v>Gema individual</x:v>
      </x:c>
      <x:c r="H55" s="18" t="n">
        <x:v>1</x:v>
      </x:c>
      <x:c r="I55" s="12" t="str">
        <x:v>Oval</x:v>
      </x:c>
      <x:c r="J55" s="12" t="str">
        <x:v>8 x 6 x 3</x:v>
      </x:c>
      <x:c r="K55" s="14" t="n">
        <x:v>0.88</x:v>
      </x:c>
      <x:c r="L55" s="12" t="str">
        <x:v>Sim</x:v>
      </x:c>
      <x:c r="M55" s="12" t="str">
        <x:v>Balança / informado</x:v>
      </x:c>
      <x:c r="N55" s="12" t="str">
        <x:v>Verde médio a intenso</x:v>
      </x:c>
      <x:c r="O55" s="12" t="str">
        <x:v>Semi-transparente a translúcida</x:v>
      </x:c>
      <x:c r="P55" s="12" t="str"/>
      <x:c r="Q55" s="12" t="str">
        <x:v>Não avaliado / não informado</x:v>
      </x:c>
      <x:c r="R55" s="12" t="str">
        <x:v>Não</x:v>
      </x:c>
      <x:c r="S55" s="12" t="str"/>
      <x:c r="T55" s="12" t="str"/>
      <x:c r="U55" s="20"/>
      <x:c r="V55" s="20"/>
      <x:c r="W55" s="20"/>
      <x:c r="X55" s="20"/>
      <x:c r="Y55" s="20"/>
      <x:c r="Z55" s="20"/>
      <x:c r="AA55" s="20"/>
      <x:c r="AB55" s="12" t="str">
        <x:v>Pendente de precificação individual</x:v>
      </x:c>
      <x:c r="AC55" s="16" t="n">
        <x:v>8</x:v>
      </x:c>
      <x:c r="AD55" s="12" t="str">
        <x:v>B+</x:v>
      </x:c>
      <x:c r="AE55" s="12" t="str">
        <x:v>A definir</x:v>
      </x:c>
      <x:c r="AF55" s="12" t="str">
        <x:v>Anel delicado / brinco</x:v>
      </x:c>
      <x:c r="AG55" s="12" t="str">
        <x:v>Anel delicado / brinco</x:v>
      </x:c>
      <x:c r="AH55" s="12" t="str">
        <x:v>Coleção</x:v>
      </x:c>
      <x:c r="AI55" s="12" t="str"/>
      <x:c r="AJ55" s="12" t="str"/>
      <x:c r="AK55" s="12" t="str"/>
      <x:c r="AL55" s="12" t="str"/>
      <x:c r="AM55" s="12" t="str">
        <x:v>Não informado</x:v>
      </x:c>
      <x:c r="AN55" s="12" t="str"/>
      <x:c r="AO55" s="12" t="str">
        <x:v>2026-07-01</x:v>
      </x:c>
      <x:c r="AP55" s="12" t="str">
        <x:v>2026-07-19</x:v>
      </x:c>
      <x:c r="AQ55" s="12" t="str">
        <x:v>Alta</x:v>
      </x:c>
      <x:c r="AR55" s="12" t="str">
        <x:v>Inventário mestre completo atualizado em 2026-07-01</x:v>
      </x:c>
      <x:c r="AS55" s="12" t="str">
        <x:v>Precificação individual pendente</x:v>
      </x:c>
      <x:c r="AT55" s="12" t="str">
        <x:v>Avaliação visual; tratamentos não avaliados; confirmar naturalidade/tratamento em laboratório.</x:v>
      </x:c>
    </x:row>
    <x:row r="56">
      <x:c r="A56" s="12" t="str">
        <x:v>DG-EM-055</x:v>
      </x:c>
      <x:c r="B56" s="12" t="str"/>
      <x:c r="C56" s="12" t="str">
        <x:v>Emerald Collection</x:v>
      </x:c>
      <x:c r="D56" s="12" t="str">
        <x:v>Esmeraldas</x:v>
      </x:c>
      <x:c r="E56" s="12" t="str">
        <x:v>Berilo</x:v>
      </x:c>
      <x:c r="F56" s="12" t="str">
        <x:v>Esmeralda</x:v>
      </x:c>
      <x:c r="G56" s="12" t="str">
        <x:v>Gema individual</x:v>
      </x:c>
      <x:c r="H56" s="18" t="n">
        <x:v>1</x:v>
      </x:c>
      <x:c r="I56" s="12" t="str">
        <x:v>Oval</x:v>
      </x:c>
      <x:c r="J56" s="12" t="str">
        <x:v>8 x 7 x 4</x:v>
      </x:c>
      <x:c r="K56" s="14" t="n">
        <x:v>0.935</x:v>
      </x:c>
      <x:c r="L56" s="12" t="str">
        <x:v>Sim</x:v>
      </x:c>
      <x:c r="M56" s="12" t="str">
        <x:v>Balança / informado</x:v>
      </x:c>
      <x:c r="N56" s="12" t="str">
        <x:v>Verde intenso</x:v>
      </x:c>
      <x:c r="O56" s="12" t="str">
        <x:v>Semi-transparente a translúcida</x:v>
      </x:c>
      <x:c r="P56" s="12" t="str"/>
      <x:c r="Q56" s="12" t="str">
        <x:v>Não avaliado / não informado</x:v>
      </x:c>
      <x:c r="R56" s="12" t="str">
        <x:v>Não</x:v>
      </x:c>
      <x:c r="S56" s="12" t="str"/>
      <x:c r="T56" s="12" t="str"/>
      <x:c r="U56" s="20"/>
      <x:c r="V56" s="20"/>
      <x:c r="W56" s="20"/>
      <x:c r="X56" s="20"/>
      <x:c r="Y56" s="20"/>
      <x:c r="Z56" s="20"/>
      <x:c r="AA56" s="20"/>
      <x:c r="AB56" s="12" t="str">
        <x:v>Pendente de precificação individual</x:v>
      </x:c>
      <x:c r="AC56" s="16" t="n">
        <x:v>8</x:v>
      </x:c>
      <x:c r="AD56" s="12" t="str">
        <x:v>B+</x:v>
      </x:c>
      <x:c r="AE56" s="12" t="str">
        <x:v>A definir</x:v>
      </x:c>
      <x:c r="AF56" s="12" t="str">
        <x:v>Anel delicado / brinco</x:v>
      </x:c>
      <x:c r="AG56" s="12" t="str">
        <x:v>Anel delicado / brinco</x:v>
      </x:c>
      <x:c r="AH56" s="12" t="str">
        <x:v>Coleção</x:v>
      </x:c>
      <x:c r="AI56" s="12" t="str"/>
      <x:c r="AJ56" s="12" t="str"/>
      <x:c r="AK56" s="12" t="str"/>
      <x:c r="AL56" s="12" t="str"/>
      <x:c r="AM56" s="12" t="str">
        <x:v>Não informado</x:v>
      </x:c>
      <x:c r="AN56" s="12" t="str"/>
      <x:c r="AO56" s="12" t="str">
        <x:v>2026-07-01</x:v>
      </x:c>
      <x:c r="AP56" s="12" t="str">
        <x:v>2026-07-19</x:v>
      </x:c>
      <x:c r="AQ56" s="12" t="str">
        <x:v>Alta</x:v>
      </x:c>
      <x:c r="AR56" s="12" t="str">
        <x:v>Inventário mestre completo atualizado em 2026-07-01</x:v>
      </x:c>
      <x:c r="AS56" s="12" t="str">
        <x:v>Precificação individual pendente</x:v>
      </x:c>
      <x:c r="AT56" s="12" t="str">
        <x:v>Avaliação visual; tratamentos não avaliados; confirmar naturalidade/tratamento em laboratório.</x:v>
      </x:c>
    </x:row>
    <x:row r="57">
      <x:c r="A57" s="12" t="str">
        <x:v>DG-EM-056</x:v>
      </x:c>
      <x:c r="B57" s="12" t="str"/>
      <x:c r="C57" s="12" t="str">
        <x:v>Emerald Collection</x:v>
      </x:c>
      <x:c r="D57" s="12" t="str">
        <x:v>Esmeraldas</x:v>
      </x:c>
      <x:c r="E57" s="12" t="str">
        <x:v>Berilo</x:v>
      </x:c>
      <x:c r="F57" s="12" t="str">
        <x:v>Esmeralda</x:v>
      </x:c>
      <x:c r="G57" s="12" t="str">
        <x:v>Gema individual</x:v>
      </x:c>
      <x:c r="H57" s="18" t="n">
        <x:v>1</x:v>
      </x:c>
      <x:c r="I57" s="12" t="str">
        <x:v>Oval</x:v>
      </x:c>
      <x:c r="J57" s="12" t="str">
        <x:v>8 x 7 x 4</x:v>
      </x:c>
      <x:c r="K57" s="14" t="n">
        <x:v>0.965</x:v>
      </x:c>
      <x:c r="L57" s="12" t="str">
        <x:v>Sim</x:v>
      </x:c>
      <x:c r="M57" s="12" t="str">
        <x:v>Balança / informado</x:v>
      </x:c>
      <x:c r="N57" s="12" t="str">
        <x:v>Verde intenso</x:v>
      </x:c>
      <x:c r="O57" s="12" t="str">
        <x:v>Semi-transparente a translúcida</x:v>
      </x:c>
      <x:c r="P57" s="12" t="str"/>
      <x:c r="Q57" s="12" t="str">
        <x:v>Não avaliado / não informado</x:v>
      </x:c>
      <x:c r="R57" s="12" t="str">
        <x:v>Não</x:v>
      </x:c>
      <x:c r="S57" s="12" t="str"/>
      <x:c r="T57" s="12" t="str"/>
      <x:c r="U57" s="20"/>
      <x:c r="V57" s="20"/>
      <x:c r="W57" s="20"/>
      <x:c r="X57" s="20"/>
      <x:c r="Y57" s="20"/>
      <x:c r="Z57" s="20"/>
      <x:c r="AA57" s="20"/>
      <x:c r="AB57" s="12" t="str">
        <x:v>Pendente de precificação individual</x:v>
      </x:c>
      <x:c r="AC57" s="16" t="n">
        <x:v>8.1</x:v>
      </x:c>
      <x:c r="AD57" s="12" t="str">
        <x:v>B+</x:v>
      </x:c>
      <x:c r="AE57" s="12" t="str">
        <x:v>A definir</x:v>
      </x:c>
      <x:c r="AF57" s="12" t="str">
        <x:v>Anel delicado / brinco</x:v>
      </x:c>
      <x:c r="AG57" s="12" t="str">
        <x:v>Anel delicado / brinco</x:v>
      </x:c>
      <x:c r="AH57" s="12" t="str">
        <x:v>Coleção</x:v>
      </x:c>
      <x:c r="AI57" s="12" t="str"/>
      <x:c r="AJ57" s="12" t="str"/>
      <x:c r="AK57" s="12" t="str"/>
      <x:c r="AL57" s="12" t="str"/>
      <x:c r="AM57" s="12" t="str">
        <x:v>Não informado</x:v>
      </x:c>
      <x:c r="AN57" s="12" t="str"/>
      <x:c r="AO57" s="12" t="str">
        <x:v>2026-07-01</x:v>
      </x:c>
      <x:c r="AP57" s="12" t="str">
        <x:v>2026-07-19</x:v>
      </x:c>
      <x:c r="AQ57" s="12" t="str">
        <x:v>Alta</x:v>
      </x:c>
      <x:c r="AR57" s="12" t="str">
        <x:v>Inventário mestre completo atualizado em 2026-07-01</x:v>
      </x:c>
      <x:c r="AS57" s="12" t="str">
        <x:v>Precificação individual pendente</x:v>
      </x:c>
      <x:c r="AT57" s="12" t="str">
        <x:v>Avaliação visual; tratamentos não avaliados; confirmar naturalidade/tratamento em laboratório.</x:v>
      </x:c>
    </x:row>
    <x:row r="58">
      <x:c r="A58" s="12" t="str">
        <x:v>DG-EM-057</x:v>
      </x:c>
      <x:c r="B58" s="12" t="str"/>
      <x:c r="C58" s="12" t="str">
        <x:v>Emerald Collection</x:v>
      </x:c>
      <x:c r="D58" s="12" t="str">
        <x:v>Esmeraldas</x:v>
      </x:c>
      <x:c r="E58" s="12" t="str">
        <x:v>Berilo</x:v>
      </x:c>
      <x:c r="F58" s="12" t="str">
        <x:v>Esmeralda</x:v>
      </x:c>
      <x:c r="G58" s="12" t="str">
        <x:v>Gema individual</x:v>
      </x:c>
      <x:c r="H58" s="18" t="n">
        <x:v>1</x:v>
      </x:c>
      <x:c r="I58" s="12" t="str">
        <x:v>Oval</x:v>
      </x:c>
      <x:c r="J58" s="12" t="str">
        <x:v>9 x 7 x 3</x:v>
      </x:c>
      <x:c r="K58" s="14" t="n">
        <x:v>1.18</x:v>
      </x:c>
      <x:c r="L58" s="12" t="str">
        <x:v>Sim</x:v>
      </x:c>
      <x:c r="M58" s="12" t="str">
        <x:v>Balança / informado</x:v>
      </x:c>
      <x:c r="N58" s="12" t="str">
        <x:v>Verde médio a intenso</x:v>
      </x:c>
      <x:c r="O58" s="12" t="str">
        <x:v>Semi-transparente a translúcida</x:v>
      </x:c>
      <x:c r="P58" s="12" t="str"/>
      <x:c r="Q58" s="12" t="str">
        <x:v>Não avaliado / não informado</x:v>
      </x:c>
      <x:c r="R58" s="12" t="str">
        <x:v>Não</x:v>
      </x:c>
      <x:c r="S58" s="12" t="str"/>
      <x:c r="T58" s="12" t="str"/>
      <x:c r="U58" s="20"/>
      <x:c r="V58" s="20"/>
      <x:c r="W58" s="20"/>
      <x:c r="X58" s="20"/>
      <x:c r="Y58" s="20"/>
      <x:c r="Z58" s="20"/>
      <x:c r="AA58" s="20"/>
      <x:c r="AB58" s="12" t="str">
        <x:v>Pendente de precificação individual</x:v>
      </x:c>
      <x:c r="AC58" s="16" t="n">
        <x:v>8</x:v>
      </x:c>
      <x:c r="AD58" s="12" t="str">
        <x:v>B+</x:v>
      </x:c>
      <x:c r="AE58" s="12" t="str">
        <x:v>A definir</x:v>
      </x:c>
      <x:c r="AF58" s="12" t="str">
        <x:v>Anel / pingente / brincos</x:v>
      </x:c>
      <x:c r="AG58" s="12" t="str">
        <x:v>Anel / pingente / brincos</x:v>
      </x:c>
      <x:c r="AH58" s="12" t="str">
        <x:v>Coleção</x:v>
      </x:c>
      <x:c r="AI58" s="12" t="str"/>
      <x:c r="AJ58" s="12" t="str"/>
      <x:c r="AK58" s="12" t="str"/>
      <x:c r="AL58" s="12" t="str"/>
      <x:c r="AM58" s="12" t="str">
        <x:v>Não informado</x:v>
      </x:c>
      <x:c r="AN58" s="12" t="str"/>
      <x:c r="AO58" s="12" t="str">
        <x:v>2026-07-01</x:v>
      </x:c>
      <x:c r="AP58" s="12" t="str">
        <x:v>2026-07-19</x:v>
      </x:c>
      <x:c r="AQ58" s="12" t="str">
        <x:v>Alta</x:v>
      </x:c>
      <x:c r="AR58" s="12" t="str">
        <x:v>Inventário mestre completo atualizado em 2026-07-01</x:v>
      </x:c>
      <x:c r="AS58" s="12" t="str">
        <x:v>Precificação individual pendente</x:v>
      </x:c>
      <x:c r="AT58" s="12" t="str">
        <x:v>Avaliação visual; tratamentos não avaliados; confirmar naturalidade/tratamento em laboratório.</x:v>
      </x:c>
    </x:row>
    <x:row r="59">
      <x:c r="A59" s="12" t="str">
        <x:v>DG-EM-058</x:v>
      </x:c>
      <x:c r="B59" s="12" t="str"/>
      <x:c r="C59" s="12" t="str">
        <x:v>Emerald Collection</x:v>
      </x:c>
      <x:c r="D59" s="12" t="str">
        <x:v>Esmeraldas</x:v>
      </x:c>
      <x:c r="E59" s="12" t="str">
        <x:v>Berilo</x:v>
      </x:c>
      <x:c r="F59" s="12" t="str">
        <x:v>Esmeralda</x:v>
      </x:c>
      <x:c r="G59" s="12" t="str">
        <x:v>Gema individual</x:v>
      </x:c>
      <x:c r="H59" s="18" t="n">
        <x:v>1</x:v>
      </x:c>
      <x:c r="I59" s="12" t="str">
        <x:v>Oval</x:v>
      </x:c>
      <x:c r="J59" s="12" t="str">
        <x:v>10 x 7 x 3</x:v>
      </x:c>
      <x:c r="K59" s="14" t="n">
        <x:v>1.4</x:v>
      </x:c>
      <x:c r="L59" s="12" t="str">
        <x:v>Sim</x:v>
      </x:c>
      <x:c r="M59" s="12" t="str">
        <x:v>Balança / informado</x:v>
      </x:c>
      <x:c r="N59" s="12" t="str">
        <x:v>Verde médio a intenso</x:v>
      </x:c>
      <x:c r="O59" s="12" t="str">
        <x:v>Semi-transparente a translúcida</x:v>
      </x:c>
      <x:c r="P59" s="12" t="str"/>
      <x:c r="Q59" s="12" t="str">
        <x:v>Não avaliado / não informado</x:v>
      </x:c>
      <x:c r="R59" s="12" t="str">
        <x:v>Não</x:v>
      </x:c>
      <x:c r="S59" s="12" t="str"/>
      <x:c r="T59" s="12" t="str"/>
      <x:c r="U59" s="20"/>
      <x:c r="V59" s="20"/>
      <x:c r="W59" s="20"/>
      <x:c r="X59" s="20"/>
      <x:c r="Y59" s="20"/>
      <x:c r="Z59" s="20"/>
      <x:c r="AA59" s="20"/>
      <x:c r="AB59" s="12" t="str">
        <x:v>Pendente de precificação individual</x:v>
      </x:c>
      <x:c r="AC59" s="16" t="n">
        <x:v>8.1</x:v>
      </x:c>
      <x:c r="AD59" s="12" t="str">
        <x:v>B+</x:v>
      </x:c>
      <x:c r="AE59" s="12" t="str">
        <x:v>A definir</x:v>
      </x:c>
      <x:c r="AF59" s="12" t="str">
        <x:v>Anel / pingente</x:v>
      </x:c>
      <x:c r="AG59" s="12" t="str">
        <x:v>Anel / pingente</x:v>
      </x:c>
      <x:c r="AH59" s="12" t="str">
        <x:v>Coleção</x:v>
      </x:c>
      <x:c r="AI59" s="12" t="str"/>
      <x:c r="AJ59" s="12" t="str"/>
      <x:c r="AK59" s="12" t="str"/>
      <x:c r="AL59" s="12" t="str"/>
      <x:c r="AM59" s="12" t="str">
        <x:v>Não informado</x:v>
      </x:c>
      <x:c r="AN59" s="12" t="str"/>
      <x:c r="AO59" s="12" t="str">
        <x:v>2026-07-01</x:v>
      </x:c>
      <x:c r="AP59" s="12" t="str">
        <x:v>2026-07-19</x:v>
      </x:c>
      <x:c r="AQ59" s="12" t="str">
        <x:v>Alta</x:v>
      </x:c>
      <x:c r="AR59" s="12" t="str">
        <x:v>Inventário mestre completo atualizado em 2026-07-01</x:v>
      </x:c>
      <x:c r="AS59" s="12" t="str">
        <x:v>Precificação individual pendente</x:v>
      </x:c>
      <x:c r="AT59" s="12" t="str">
        <x:v>Avaliação visual; tratamentos não avaliados; confirmar naturalidade/tratamento em laboratório.</x:v>
      </x:c>
    </x:row>
    <x:row r="60">
      <x:c r="A60" s="12" t="str">
        <x:v>DG-EM-059</x:v>
      </x:c>
      <x:c r="B60" s="12" t="str"/>
      <x:c r="C60" s="12" t="str">
        <x:v>Emerald Collection</x:v>
      </x:c>
      <x:c r="D60" s="12" t="str">
        <x:v>Esmeraldas</x:v>
      </x:c>
      <x:c r="E60" s="12" t="str">
        <x:v>Berilo</x:v>
      </x:c>
      <x:c r="F60" s="12" t="str">
        <x:v>Esmeralda</x:v>
      </x:c>
      <x:c r="G60" s="12" t="str">
        <x:v>Gema individual</x:v>
      </x:c>
      <x:c r="H60" s="18" t="n">
        <x:v>1</x:v>
      </x:c>
      <x:c r="I60" s="12" t="str">
        <x:v>Oval</x:v>
      </x:c>
      <x:c r="J60" s="12" t="str">
        <x:v>8 x 6 x 4</x:v>
      </x:c>
      <x:c r="K60" s="14" t="n">
        <x:v>1.12</x:v>
      </x:c>
      <x:c r="L60" s="12" t="str">
        <x:v>Sim</x:v>
      </x:c>
      <x:c r="M60" s="12" t="str">
        <x:v>Balança / informado</x:v>
      </x:c>
      <x:c r="N60" s="12" t="str">
        <x:v>Verde médio</x:v>
      </x:c>
      <x:c r="O60" s="12" t="str">
        <x:v>Semi-transparente a translúcida</x:v>
      </x:c>
      <x:c r="P60" s="12" t="str"/>
      <x:c r="Q60" s="12" t="str">
        <x:v>Não avaliado / não informado</x:v>
      </x:c>
      <x:c r="R60" s="12" t="str">
        <x:v>Não</x:v>
      </x:c>
      <x:c r="S60" s="12" t="str"/>
      <x:c r="T60" s="12" t="str"/>
      <x:c r="U60" s="20"/>
      <x:c r="V60" s="20"/>
      <x:c r="W60" s="20"/>
      <x:c r="X60" s="20"/>
      <x:c r="Y60" s="20"/>
      <x:c r="Z60" s="20"/>
      <x:c r="AA60" s="20"/>
      <x:c r="AB60" s="12" t="str">
        <x:v>Pendente de precificação individual</x:v>
      </x:c>
      <x:c r="AC60" s="16" t="n">
        <x:v>8</x:v>
      </x:c>
      <x:c r="AD60" s="12" t="str">
        <x:v>B+</x:v>
      </x:c>
      <x:c r="AE60" s="12" t="str">
        <x:v>A definir</x:v>
      </x:c>
      <x:c r="AF60" s="12" t="str">
        <x:v>Anel / brinco / pingente</x:v>
      </x:c>
      <x:c r="AG60" s="12" t="str">
        <x:v>Anel / brinco / pingente</x:v>
      </x:c>
      <x:c r="AH60" s="12" t="str">
        <x:v>Coleção</x:v>
      </x:c>
      <x:c r="AI60" s="12" t="str"/>
      <x:c r="AJ60" s="12" t="str"/>
      <x:c r="AK60" s="12" t="str"/>
      <x:c r="AL60" s="12" t="str"/>
      <x:c r="AM60" s="12" t="str">
        <x:v>Não informado</x:v>
      </x:c>
      <x:c r="AN60" s="12" t="str"/>
      <x:c r="AO60" s="12" t="str">
        <x:v>2026-07-01</x:v>
      </x:c>
      <x:c r="AP60" s="12" t="str">
        <x:v>2026-07-19</x:v>
      </x:c>
      <x:c r="AQ60" s="12" t="str">
        <x:v>Alta</x:v>
      </x:c>
      <x:c r="AR60" s="12" t="str">
        <x:v>Inventário mestre completo atualizado em 2026-07-01</x:v>
      </x:c>
      <x:c r="AS60" s="12" t="str">
        <x:v>Precificação individual pendente</x:v>
      </x:c>
      <x:c r="AT60" s="12" t="str">
        <x:v>Avaliação visual; tratamentos não avaliados; confirmar naturalidade/tratamento em laboratório.</x:v>
      </x:c>
    </x:row>
    <x:row r="61">
      <x:c r="A61" s="12" t="str">
        <x:v>DG-EM-060</x:v>
      </x:c>
      <x:c r="B61" s="12" t="str"/>
      <x:c r="C61" s="12" t="str">
        <x:v>Emerald Collection</x:v>
      </x:c>
      <x:c r="D61" s="12" t="str">
        <x:v>Esmeraldas</x:v>
      </x:c>
      <x:c r="E61" s="12" t="str">
        <x:v>Berilo</x:v>
      </x:c>
      <x:c r="F61" s="12" t="str">
        <x:v>Esmeralda</x:v>
      </x:c>
      <x:c r="G61" s="12" t="str">
        <x:v>Gema individual</x:v>
      </x:c>
      <x:c r="H61" s="18" t="n">
        <x:v>1</x:v>
      </x:c>
      <x:c r="I61" s="12" t="str">
        <x:v>Oval</x:v>
      </x:c>
      <x:c r="J61" s="12" t="str">
        <x:v>10 x 7 x 5</x:v>
      </x:c>
      <x:c r="K61" s="14" t="n">
        <x:v>1.635</x:v>
      </x:c>
      <x:c r="L61" s="12" t="str">
        <x:v>Sim</x:v>
      </x:c>
      <x:c r="M61" s="12" t="str">
        <x:v>Balança / informado</x:v>
      </x:c>
      <x:c r="N61" s="12" t="str">
        <x:v>Verde médio a intenso</x:v>
      </x:c>
      <x:c r="O61" s="12" t="str">
        <x:v>Semi-transparente a translúcida</x:v>
      </x:c>
      <x:c r="P61" s="12" t="str"/>
      <x:c r="Q61" s="12" t="str">
        <x:v>Não avaliado / não informado</x:v>
      </x:c>
      <x:c r="R61" s="12" t="str">
        <x:v>Não</x:v>
      </x:c>
      <x:c r="S61" s="12" t="str"/>
      <x:c r="T61" s="12" t="str"/>
      <x:c r="U61" s="20"/>
      <x:c r="V61" s="20"/>
      <x:c r="W61" s="20"/>
      <x:c r="X61" s="20"/>
      <x:c r="Y61" s="20"/>
      <x:c r="Z61" s="20"/>
      <x:c r="AA61" s="20"/>
      <x:c r="AB61" s="12" t="str">
        <x:v>Pendente de precificação individual</x:v>
      </x:c>
      <x:c r="AC61" s="16" t="n">
        <x:v>8.2</x:v>
      </x:c>
      <x:c r="AD61" s="12" t="str">
        <x:v>B+</x:v>
      </x:c>
      <x:c r="AE61" s="12" t="str">
        <x:v>A definir</x:v>
      </x:c>
      <x:c r="AF61" s="12" t="str">
        <x:v>Anel / pingente</x:v>
      </x:c>
      <x:c r="AG61" s="12" t="str">
        <x:v>Anel / pingente</x:v>
      </x:c>
      <x:c r="AH61" s="12" t="str">
        <x:v>Coleção</x:v>
      </x:c>
      <x:c r="AI61" s="12" t="str"/>
      <x:c r="AJ61" s="12" t="str"/>
      <x:c r="AK61" s="12" t="str"/>
      <x:c r="AL61" s="12" t="str"/>
      <x:c r="AM61" s="12" t="str">
        <x:v>Não informado</x:v>
      </x:c>
      <x:c r="AN61" s="12" t="str"/>
      <x:c r="AO61" s="12" t="str">
        <x:v>2026-07-01</x:v>
      </x:c>
      <x:c r="AP61" s="12" t="str">
        <x:v>2026-07-19</x:v>
      </x:c>
      <x:c r="AQ61" s="12" t="str">
        <x:v>Alta</x:v>
      </x:c>
      <x:c r="AR61" s="12" t="str">
        <x:v>Inventário mestre completo atualizado em 2026-07-01</x:v>
      </x:c>
      <x:c r="AS61" s="12" t="str">
        <x:v>Precificação individual pendente</x:v>
      </x:c>
      <x:c r="AT61" s="12" t="str">
        <x:v>Avaliação visual; tratamentos não avaliados; confirmar naturalidade/tratamento em laboratório.</x:v>
      </x:c>
    </x:row>
    <x:row r="62">
      <x:c r="A62" s="12" t="str">
        <x:v>DG-EM-061</x:v>
      </x:c>
      <x:c r="B62" s="12" t="str"/>
      <x:c r="C62" s="12" t="str">
        <x:v>Emerald Collection</x:v>
      </x:c>
      <x:c r="D62" s="12" t="str">
        <x:v>Esmeraldas</x:v>
      </x:c>
      <x:c r="E62" s="12" t="str">
        <x:v>Berilo</x:v>
      </x:c>
      <x:c r="F62" s="12" t="str">
        <x:v>Esmeralda</x:v>
      </x:c>
      <x:c r="G62" s="12" t="str">
        <x:v>Gema individual</x:v>
      </x:c>
      <x:c r="H62" s="18" t="n">
        <x:v>1</x:v>
      </x:c>
      <x:c r="I62" s="12" t="str">
        <x:v>Oval</x:v>
      </x:c>
      <x:c r="J62" s="12" t="str">
        <x:v>9 x 7 x 4</x:v>
      </x:c>
      <x:c r="K62" s="14" t="n">
        <x:v>1.365</x:v>
      </x:c>
      <x:c r="L62" s="12" t="str">
        <x:v>Sim</x:v>
      </x:c>
      <x:c r="M62" s="12" t="str">
        <x:v>Balança / informado</x:v>
      </x:c>
      <x:c r="N62" s="12" t="str">
        <x:v>Verde médio</x:v>
      </x:c>
      <x:c r="O62" s="12" t="str">
        <x:v>Semi-transparente a translúcida</x:v>
      </x:c>
      <x:c r="P62" s="12" t="str"/>
      <x:c r="Q62" s="12" t="str">
        <x:v>Não avaliado / não informado</x:v>
      </x:c>
      <x:c r="R62" s="12" t="str">
        <x:v>Não</x:v>
      </x:c>
      <x:c r="S62" s="12" t="str"/>
      <x:c r="T62" s="12" t="str"/>
      <x:c r="U62" s="20"/>
      <x:c r="V62" s="20"/>
      <x:c r="W62" s="20"/>
      <x:c r="X62" s="20"/>
      <x:c r="Y62" s="20"/>
      <x:c r="Z62" s="20"/>
      <x:c r="AA62" s="20"/>
      <x:c r="AB62" s="12" t="str">
        <x:v>Pendente de precificação individual</x:v>
      </x:c>
      <x:c r="AC62" s="16" t="n">
        <x:v>8</x:v>
      </x:c>
      <x:c r="AD62" s="12" t="str">
        <x:v>B+</x:v>
      </x:c>
      <x:c r="AE62" s="12" t="str">
        <x:v>A definir</x:v>
      </x:c>
      <x:c r="AF62" s="12" t="str">
        <x:v>Anel / brinco / pingente</x:v>
      </x:c>
      <x:c r="AG62" s="12" t="str">
        <x:v>Anel / brinco / pingente</x:v>
      </x:c>
      <x:c r="AH62" s="12" t="str">
        <x:v>Coleção</x:v>
      </x:c>
      <x:c r="AI62" s="12" t="str"/>
      <x:c r="AJ62" s="12" t="str"/>
      <x:c r="AK62" s="12" t="str"/>
      <x:c r="AL62" s="12" t="str"/>
      <x:c r="AM62" s="12" t="str">
        <x:v>Não informado</x:v>
      </x:c>
      <x:c r="AN62" s="12" t="str"/>
      <x:c r="AO62" s="12" t="str">
        <x:v>2026-07-01</x:v>
      </x:c>
      <x:c r="AP62" s="12" t="str">
        <x:v>2026-07-19</x:v>
      </x:c>
      <x:c r="AQ62" s="12" t="str">
        <x:v>Alta</x:v>
      </x:c>
      <x:c r="AR62" s="12" t="str">
        <x:v>Inventário mestre completo atualizado em 2026-07-01</x:v>
      </x:c>
      <x:c r="AS62" s="12" t="str">
        <x:v>Precificação individual pendente</x:v>
      </x:c>
      <x:c r="AT62" s="12" t="str">
        <x:v>Avaliação visual; tratamentos não avaliados; confirmar naturalidade/tratamento em laboratório.</x:v>
      </x:c>
    </x:row>
    <x:row r="63">
      <x:c r="A63" s="12" t="str">
        <x:v>DG-EM-062</x:v>
      </x:c>
      <x:c r="B63" s="12" t="str"/>
      <x:c r="C63" s="12" t="str">
        <x:v>Emerald Collection</x:v>
      </x:c>
      <x:c r="D63" s="12" t="str">
        <x:v>Esmeraldas</x:v>
      </x:c>
      <x:c r="E63" s="12" t="str">
        <x:v>Berilo</x:v>
      </x:c>
      <x:c r="F63" s="12" t="str">
        <x:v>Esmeralda</x:v>
      </x:c>
      <x:c r="G63" s="12" t="str">
        <x:v>Gema individual</x:v>
      </x:c>
      <x:c r="H63" s="18" t="n">
        <x:v>1</x:v>
      </x:c>
      <x:c r="I63" s="12" t="str">
        <x:v>Oval</x:v>
      </x:c>
      <x:c r="J63" s="12" t="str">
        <x:v>13 x 8 x 5</x:v>
      </x:c>
      <x:c r="K63" s="14" t="n">
        <x:v>2.315</x:v>
      </x:c>
      <x:c r="L63" s="12" t="str">
        <x:v>Sim</x:v>
      </x:c>
      <x:c r="M63" s="12" t="str">
        <x:v>Balança / informado</x:v>
      </x:c>
      <x:c r="N63" s="12" t="str">
        <x:v>Verde médio a intenso</x:v>
      </x:c>
      <x:c r="O63" s="12" t="str">
        <x:v>Semi-transparente a translúcida</x:v>
      </x:c>
      <x:c r="P63" s="12" t="str"/>
      <x:c r="Q63" s="12" t="str">
        <x:v>Não avaliado / não informado</x:v>
      </x:c>
      <x:c r="R63" s="12" t="str">
        <x:v>Não</x:v>
      </x:c>
      <x:c r="S63" s="12" t="str"/>
      <x:c r="T63" s="12" t="str"/>
      <x:c r="U63" s="20"/>
      <x:c r="V63" s="20"/>
      <x:c r="W63" s="20"/>
      <x:c r="X63" s="20"/>
      <x:c r="Y63" s="20"/>
      <x:c r="Z63" s="20"/>
      <x:c r="AA63" s="20"/>
      <x:c r="AB63" s="12" t="str">
        <x:v>Pendente de precificação individual</x:v>
      </x:c>
      <x:c r="AC63" s="16" t="n">
        <x:v>8.4</x:v>
      </x:c>
      <x:c r="AD63" s="12" t="str">
        <x:v>A-</x:v>
      </x:c>
      <x:c r="AE63" s="12" t="str">
        <x:v>A definir</x:v>
      </x:c>
      <x:c r="AF63" s="12" t="str">
        <x:v>Anel de destaque / pingente</x:v>
      </x:c>
      <x:c r="AG63" s="12" t="str">
        <x:v>Anel de destaque / pingente</x:v>
      </x:c>
      <x:c r="AH63" s="12" t="str">
        <x:v>Coleção</x:v>
      </x:c>
      <x:c r="AI63" s="12" t="str"/>
      <x:c r="AJ63" s="12" t="str"/>
      <x:c r="AK63" s="12" t="str"/>
      <x:c r="AL63" s="12" t="str"/>
      <x:c r="AM63" s="12" t="str">
        <x:v>Não informado</x:v>
      </x:c>
      <x:c r="AN63" s="12" t="str"/>
      <x:c r="AO63" s="12" t="str">
        <x:v>2026-07-01</x:v>
      </x:c>
      <x:c r="AP63" s="12" t="str">
        <x:v>2026-07-19</x:v>
      </x:c>
      <x:c r="AQ63" s="12" t="str">
        <x:v>Alta</x:v>
      </x:c>
      <x:c r="AR63" s="12" t="str">
        <x:v>Inventário mestre completo atualizado em 2026-07-01</x:v>
      </x:c>
      <x:c r="AS63" s="12" t="str">
        <x:v>Precificação individual pendente</x:v>
      </x:c>
      <x:c r="AT63" s="12" t="str">
        <x:v>Avaliação visual; tratamentos não avaliados; confirmar naturalidade/tratamento em laboratório.</x:v>
      </x:c>
    </x:row>
    <x:row r="64">
      <x:c r="A64" s="12" t="str">
        <x:v>DG-EM-063</x:v>
      </x:c>
      <x:c r="B64" s="12" t="str"/>
      <x:c r="C64" s="12" t="str">
        <x:v>Emerald Collection</x:v>
      </x:c>
      <x:c r="D64" s="12" t="str">
        <x:v>Esmeraldas</x:v>
      </x:c>
      <x:c r="E64" s="12" t="str">
        <x:v>Berilo</x:v>
      </x:c>
      <x:c r="F64" s="12" t="str">
        <x:v>Esmeralda</x:v>
      </x:c>
      <x:c r="G64" s="12" t="str">
        <x:v>Gema individual</x:v>
      </x:c>
      <x:c r="H64" s="18" t="n">
        <x:v>1</x:v>
      </x:c>
      <x:c r="I64" s="12" t="str">
        <x:v>Oval</x:v>
      </x:c>
      <x:c r="J64" s="12" t="str">
        <x:v>11 x 7 x 5</x:v>
      </x:c>
      <x:c r="K64" s="14" t="n">
        <x:v>2.095</x:v>
      </x:c>
      <x:c r="L64" s="12" t="str">
        <x:v>Sim</x:v>
      </x:c>
      <x:c r="M64" s="12" t="str">
        <x:v>Balança / informado</x:v>
      </x:c>
      <x:c r="N64" s="12" t="str">
        <x:v>Verde intenso</x:v>
      </x:c>
      <x:c r="O64" s="12" t="str">
        <x:v>Semi-transparente a translúcida</x:v>
      </x:c>
      <x:c r="P64" s="12" t="str"/>
      <x:c r="Q64" s="12" t="str">
        <x:v>Não avaliado / não informado</x:v>
      </x:c>
      <x:c r="R64" s="12" t="str">
        <x:v>Não</x:v>
      </x:c>
      <x:c r="S64" s="12" t="str"/>
      <x:c r="T64" s="12" t="str"/>
      <x:c r="U64" s="20"/>
      <x:c r="V64" s="20"/>
      <x:c r="W64" s="20"/>
      <x:c r="X64" s="20"/>
      <x:c r="Y64" s="20"/>
      <x:c r="Z64" s="20"/>
      <x:c r="AA64" s="20"/>
      <x:c r="AB64" s="12" t="str">
        <x:v>Pendente de precificação individual</x:v>
      </x:c>
      <x:c r="AC64" s="16" t="n">
        <x:v>8.5</x:v>
      </x:c>
      <x:c r="AD64" s="12" t="str">
        <x:v>A-</x:v>
      </x:c>
      <x:c r="AE64" s="12" t="str">
        <x:v>A definir</x:v>
      </x:c>
      <x:c r="AF64" s="12" t="str">
        <x:v>Anel de alto padrão / pingente</x:v>
      </x:c>
      <x:c r="AG64" s="12" t="str">
        <x:v>Anel de alto padrão / pingente</x:v>
      </x:c>
      <x:c r="AH64" s="12" t="str">
        <x:v>Coleção</x:v>
      </x:c>
      <x:c r="AI64" s="12" t="str"/>
      <x:c r="AJ64" s="12" t="str"/>
      <x:c r="AK64" s="12" t="str"/>
      <x:c r="AL64" s="12" t="str"/>
      <x:c r="AM64" s="12" t="str">
        <x:v>Não informado</x:v>
      </x:c>
      <x:c r="AN64" s="12" t="str"/>
      <x:c r="AO64" s="12" t="str">
        <x:v>2026-07-01</x:v>
      </x:c>
      <x:c r="AP64" s="12" t="str">
        <x:v>2026-07-19</x:v>
      </x:c>
      <x:c r="AQ64" s="12" t="str">
        <x:v>Alta</x:v>
      </x:c>
      <x:c r="AR64" s="12" t="str">
        <x:v>Inventário mestre completo atualizado em 2026-07-01</x:v>
      </x:c>
      <x:c r="AS64" s="12" t="str">
        <x:v>Precificação individual pendente</x:v>
      </x:c>
      <x:c r="AT64" s="12" t="str">
        <x:v>Avaliação visual; tratamentos não avaliados; confirmar naturalidade/tratamento em laboratório.</x:v>
      </x:c>
    </x:row>
    <x:row r="65">
      <x:c r="A65" s="12" t="str">
        <x:v>DG-EM-064</x:v>
      </x:c>
      <x:c r="B65" s="12" t="str"/>
      <x:c r="C65" s="12" t="str">
        <x:v>Emerald Collection</x:v>
      </x:c>
      <x:c r="D65" s="12" t="str">
        <x:v>Esmeraldas</x:v>
      </x:c>
      <x:c r="E65" s="12" t="str">
        <x:v>Berilo</x:v>
      </x:c>
      <x:c r="F65" s="12" t="str">
        <x:v>Esmeralda</x:v>
      </x:c>
      <x:c r="G65" s="12" t="str">
        <x:v>Gema individual</x:v>
      </x:c>
      <x:c r="H65" s="18" t="n">
        <x:v>1</x:v>
      </x:c>
      <x:c r="I65" s="12" t="str">
        <x:v>Oval</x:v>
      </x:c>
      <x:c r="J65" s="12" t="str">
        <x:v>9 x 7 x 4</x:v>
      </x:c>
      <x:c r="K65" s="14" t="n">
        <x:v>1.22</x:v>
      </x:c>
      <x:c r="L65" s="12" t="str">
        <x:v>Sim</x:v>
      </x:c>
      <x:c r="M65" s="12" t="str">
        <x:v>Balança / informado</x:v>
      </x:c>
      <x:c r="N65" s="12" t="str">
        <x:v>Verde médio</x:v>
      </x:c>
      <x:c r="O65" s="12" t="str">
        <x:v>Semi-transparente a translúcida</x:v>
      </x:c>
      <x:c r="P65" s="12" t="str"/>
      <x:c r="Q65" s="12" t="str">
        <x:v>Não avaliado / não informado</x:v>
      </x:c>
      <x:c r="R65" s="12" t="str">
        <x:v>Não</x:v>
      </x:c>
      <x:c r="S65" s="12" t="str"/>
      <x:c r="T65" s="12" t="str"/>
      <x:c r="U65" s="20"/>
      <x:c r="V65" s="20"/>
      <x:c r="W65" s="20"/>
      <x:c r="X65" s="20"/>
      <x:c r="Y65" s="20"/>
      <x:c r="Z65" s="20"/>
      <x:c r="AA65" s="20"/>
      <x:c r="AB65" s="12" t="str">
        <x:v>Pendente de precificação individual</x:v>
      </x:c>
      <x:c r="AC65" s="16" t="n">
        <x:v>8.1</x:v>
      </x:c>
      <x:c r="AD65" s="12" t="str">
        <x:v>B+</x:v>
      </x:c>
      <x:c r="AE65" s="12" t="str">
        <x:v>A definir</x:v>
      </x:c>
      <x:c r="AF65" s="12" t="str">
        <x:v>Anel / brinco / pingente</x:v>
      </x:c>
      <x:c r="AG65" s="12" t="str">
        <x:v>Anel / brinco / pingente</x:v>
      </x:c>
      <x:c r="AH65" s="12" t="str">
        <x:v>Coleção</x:v>
      </x:c>
      <x:c r="AI65" s="12" t="str"/>
      <x:c r="AJ65" s="12" t="str"/>
      <x:c r="AK65" s="12" t="str"/>
      <x:c r="AL65" s="12" t="str"/>
      <x:c r="AM65" s="12" t="str">
        <x:v>Não informado</x:v>
      </x:c>
      <x:c r="AN65" s="12" t="str"/>
      <x:c r="AO65" s="12" t="str">
        <x:v>2026-07-01</x:v>
      </x:c>
      <x:c r="AP65" s="12" t="str">
        <x:v>2026-07-19</x:v>
      </x:c>
      <x:c r="AQ65" s="12" t="str">
        <x:v>Alta</x:v>
      </x:c>
      <x:c r="AR65" s="12" t="str">
        <x:v>Inventário mestre completo atualizado em 2026-07-01</x:v>
      </x:c>
      <x:c r="AS65" s="12" t="str">
        <x:v>Precificação individual pendente</x:v>
      </x:c>
      <x:c r="AT65" s="12" t="str">
        <x:v>Avaliação visual; tratamentos não avaliados; confirmar naturalidade/tratamento em laboratório.</x:v>
      </x:c>
    </x:row>
    <x:row r="66">
      <x:c r="A66" s="12" t="str">
        <x:v>DG-EM-065</x:v>
      </x:c>
      <x:c r="B66" s="12" t="str"/>
      <x:c r="C66" s="12" t="str">
        <x:v>Emerald Collection</x:v>
      </x:c>
      <x:c r="D66" s="12" t="str">
        <x:v>Esmeraldas</x:v>
      </x:c>
      <x:c r="E66" s="12" t="str">
        <x:v>Berilo</x:v>
      </x:c>
      <x:c r="F66" s="12" t="str">
        <x:v>Esmeralda</x:v>
      </x:c>
      <x:c r="G66" s="12" t="str">
        <x:v>Gema individual</x:v>
      </x:c>
      <x:c r="H66" s="18" t="n">
        <x:v>1</x:v>
      </x:c>
      <x:c r="I66" s="12" t="str">
        <x:v>Emerald Cut retangular</x:v>
      </x:c>
      <x:c r="J66" s="12" t="str">
        <x:v>9 x 6 x 4</x:v>
      </x:c>
      <x:c r="K66" s="14" t="n">
        <x:v>1.285</x:v>
      </x:c>
      <x:c r="L66" s="12" t="str">
        <x:v>Sim</x:v>
      </x:c>
      <x:c r="M66" s="12" t="str">
        <x:v>Balança / informado</x:v>
      </x:c>
      <x:c r="N66" s="12" t="str">
        <x:v>Verde intenso</x:v>
      </x:c>
      <x:c r="O66" s="12" t="str">
        <x:v>Semi-transparente a translúcida</x:v>
      </x:c>
      <x:c r="P66" s="12" t="str"/>
      <x:c r="Q66" s="12" t="str">
        <x:v>Não avaliado / não informado</x:v>
      </x:c>
      <x:c r="R66" s="12" t="str">
        <x:v>Não</x:v>
      </x:c>
      <x:c r="S66" s="12" t="str"/>
      <x:c r="T66" s="12" t="str"/>
      <x:c r="U66" s="20"/>
      <x:c r="V66" s="20"/>
      <x:c r="W66" s="20"/>
      <x:c r="X66" s="20"/>
      <x:c r="Y66" s="20"/>
      <x:c r="Z66" s="20"/>
      <x:c r="AA66" s="20"/>
      <x:c r="AB66" s="12" t="str">
        <x:v>Pendente de precificação individual</x:v>
      </x:c>
      <x:c r="AC66" s="16" t="n">
        <x:v>8.3</x:v>
      </x:c>
      <x:c r="AD66" s="12" t="str">
        <x:v>A-</x:v>
      </x:c>
      <x:c r="AE66" s="12" t="str">
        <x:v>A definir</x:v>
      </x:c>
      <x:c r="AF66" s="12" t="str">
        <x:v>Anel clássico / pingente</x:v>
      </x:c>
      <x:c r="AG66" s="12" t="str">
        <x:v>Anel clássico / pingente</x:v>
      </x:c>
      <x:c r="AH66" s="12" t="str">
        <x:v>Coleção</x:v>
      </x:c>
      <x:c r="AI66" s="12" t="str"/>
      <x:c r="AJ66" s="12" t="str"/>
      <x:c r="AK66" s="12" t="str"/>
      <x:c r="AL66" s="12" t="str"/>
      <x:c r="AM66" s="12" t="str">
        <x:v>Não informado</x:v>
      </x:c>
      <x:c r="AN66" s="12" t="str"/>
      <x:c r="AO66" s="12" t="str">
        <x:v>2026-07-01</x:v>
      </x:c>
      <x:c r="AP66" s="12" t="str">
        <x:v>2026-07-19</x:v>
      </x:c>
      <x:c r="AQ66" s="12" t="str">
        <x:v>Alta</x:v>
      </x:c>
      <x:c r="AR66" s="12" t="str">
        <x:v>Inventário mestre completo atualizado em 2026-07-01</x:v>
      </x:c>
      <x:c r="AS66" s="12" t="str">
        <x:v>Precificação individual pendente</x:v>
      </x:c>
      <x:c r="AT66" s="12" t="str">
        <x:v>Avaliação visual; tratamentos não avaliados; confirmar naturalidade/tratamento em laboratório.</x:v>
      </x:c>
    </x:row>
    <x:row r="67">
      <x:c r="A67" s="12" t="str">
        <x:v>DG-EM-066</x:v>
      </x:c>
      <x:c r="B67" s="12" t="str"/>
      <x:c r="C67" s="12" t="str">
        <x:v>Emerald Collection</x:v>
      </x:c>
      <x:c r="D67" s="12" t="str">
        <x:v>Esmeraldas</x:v>
      </x:c>
      <x:c r="E67" s="12" t="str">
        <x:v>Berilo</x:v>
      </x:c>
      <x:c r="F67" s="12" t="str">
        <x:v>Esmeralda</x:v>
      </x:c>
      <x:c r="G67" s="12" t="str">
        <x:v>Gema individual</x:v>
      </x:c>
      <x:c r="H67" s="18" t="n">
        <x:v>1</x:v>
      </x:c>
      <x:c r="I67" s="12" t="str">
        <x:v>Emerald Cut retangular</x:v>
      </x:c>
      <x:c r="J67" s="12" t="str">
        <x:v>9 x 6 x 4</x:v>
      </x:c>
      <x:c r="K67" s="14" t="n">
        <x:v>1.405</x:v>
      </x:c>
      <x:c r="L67" s="12" t="str">
        <x:v>Sim</x:v>
      </x:c>
      <x:c r="M67" s="12" t="str">
        <x:v>Balança / informado</x:v>
      </x:c>
      <x:c r="N67" s="12" t="str">
        <x:v>Verde intenso</x:v>
      </x:c>
      <x:c r="O67" s="12" t="str">
        <x:v>Semi-transparente a translúcida</x:v>
      </x:c>
      <x:c r="P67" s="12" t="str"/>
      <x:c r="Q67" s="12" t="str">
        <x:v>Não avaliado / não informado</x:v>
      </x:c>
      <x:c r="R67" s="12" t="str">
        <x:v>Não</x:v>
      </x:c>
      <x:c r="S67" s="12" t="str"/>
      <x:c r="T67" s="12" t="str"/>
      <x:c r="U67" s="20"/>
      <x:c r="V67" s="20"/>
      <x:c r="W67" s="20"/>
      <x:c r="X67" s="20"/>
      <x:c r="Y67" s="20"/>
      <x:c r="Z67" s="20"/>
      <x:c r="AA67" s="20"/>
      <x:c r="AB67" s="12" t="str">
        <x:v>Pendente de precificação individual</x:v>
      </x:c>
      <x:c r="AC67" s="16" t="n">
        <x:v>8.5</x:v>
      </x:c>
      <x:c r="AD67" s="12" t="str">
        <x:v>A</x:v>
      </x:c>
      <x:c r="AE67" s="12" t="str">
        <x:v>A definir</x:v>
      </x:c>
      <x:c r="AF67" s="12" t="str">
        <x:v>Anel solitário / pingente</x:v>
      </x:c>
      <x:c r="AG67" s="12" t="str">
        <x:v>Anel solitário / pingente</x:v>
      </x:c>
      <x:c r="AH67" s="12" t="str">
        <x:v>Coleção</x:v>
      </x:c>
      <x:c r="AI67" s="12" t="str"/>
      <x:c r="AJ67" s="12" t="str"/>
      <x:c r="AK67" s="12" t="str"/>
      <x:c r="AL67" s="12" t="str"/>
      <x:c r="AM67" s="12" t="str">
        <x:v>Não informado</x:v>
      </x:c>
      <x:c r="AN67" s="12" t="str"/>
      <x:c r="AO67" s="12" t="str">
        <x:v>2026-07-01</x:v>
      </x:c>
      <x:c r="AP67" s="12" t="str">
        <x:v>2026-07-19</x:v>
      </x:c>
      <x:c r="AQ67" s="12" t="str">
        <x:v>Alta</x:v>
      </x:c>
      <x:c r="AR67" s="12" t="str">
        <x:v>Inventário mestre completo atualizado em 2026-07-01</x:v>
      </x:c>
      <x:c r="AS67" s="12" t="str">
        <x:v>Precificação individual pendente</x:v>
      </x:c>
      <x:c r="AT67" s="12" t="str">
        <x:v>Avaliação visual; tratamentos não avaliados; confirmar naturalidade/tratamento em laboratório.</x:v>
      </x:c>
    </x:row>
    <x:row r="68">
      <x:c r="A68" s="12" t="str">
        <x:v>DG-EM-067</x:v>
      </x:c>
      <x:c r="B68" s="12" t="str"/>
      <x:c r="C68" s="12" t="str">
        <x:v>Emerald Collection</x:v>
      </x:c>
      <x:c r="D68" s="12" t="str">
        <x:v>Esmeraldas</x:v>
      </x:c>
      <x:c r="E68" s="12" t="str">
        <x:v>Berilo</x:v>
      </x:c>
      <x:c r="F68" s="12" t="str">
        <x:v>Esmeralda</x:v>
      </x:c>
      <x:c r="G68" s="12" t="str">
        <x:v>Gema individual</x:v>
      </x:c>
      <x:c r="H68" s="18" t="n">
        <x:v>1</x:v>
      </x:c>
      <x:c r="I68" s="12" t="str">
        <x:v>Quadrado / Emerald Cut</x:v>
      </x:c>
      <x:c r="J68" s="12" t="str">
        <x:v>7 x 7 x 4</x:v>
      </x:c>
      <x:c r="K68" s="14" t="n">
        <x:v>1.19</x:v>
      </x:c>
      <x:c r="L68" s="12" t="str">
        <x:v>Sim</x:v>
      </x:c>
      <x:c r="M68" s="12" t="str">
        <x:v>Balança / informado</x:v>
      </x:c>
      <x:c r="N68" s="12" t="str">
        <x:v>Verde médio a intenso</x:v>
      </x:c>
      <x:c r="O68" s="12" t="str">
        <x:v>Semi-transparente a translúcida</x:v>
      </x:c>
      <x:c r="P68" s="12" t="str"/>
      <x:c r="Q68" s="12" t="str">
        <x:v>Não avaliado / não informado</x:v>
      </x:c>
      <x:c r="R68" s="12" t="str">
        <x:v>Não</x:v>
      </x:c>
      <x:c r="S68" s="12" t="str"/>
      <x:c r="T68" s="12" t="str"/>
      <x:c r="U68" s="20"/>
      <x:c r="V68" s="20"/>
      <x:c r="W68" s="20"/>
      <x:c r="X68" s="20"/>
      <x:c r="Y68" s="20"/>
      <x:c r="Z68" s="20"/>
      <x:c r="AA68" s="20"/>
      <x:c r="AB68" s="12" t="str">
        <x:v>Pendente de precificação individual</x:v>
      </x:c>
      <x:c r="AC68" s="16" t="n">
        <x:v>8.1</x:v>
      </x:c>
      <x:c r="AD68" s="12" t="str">
        <x:v>B+</x:v>
      </x:c>
      <x:c r="AE68" s="12" t="str">
        <x:v>A definir</x:v>
      </x:c>
      <x:c r="AF68" s="12" t="str">
        <x:v>Anel clássico / joia geométrica</x:v>
      </x:c>
      <x:c r="AG68" s="12" t="str">
        <x:v>Anel clássico / joia geométrica</x:v>
      </x:c>
      <x:c r="AH68" s="12" t="str">
        <x:v>Coleção</x:v>
      </x:c>
      <x:c r="AI68" s="12" t="str"/>
      <x:c r="AJ68" s="12" t="str"/>
      <x:c r="AK68" s="12" t="str"/>
      <x:c r="AL68" s="12" t="str"/>
      <x:c r="AM68" s="12" t="str">
        <x:v>Não informado</x:v>
      </x:c>
      <x:c r="AN68" s="12" t="str"/>
      <x:c r="AO68" s="12" t="str">
        <x:v>2026-07-01</x:v>
      </x:c>
      <x:c r="AP68" s="12" t="str">
        <x:v>2026-07-19</x:v>
      </x:c>
      <x:c r="AQ68" s="12" t="str">
        <x:v>Alta</x:v>
      </x:c>
      <x:c r="AR68" s="12" t="str">
        <x:v>Inventário mestre completo atualizado em 2026-07-01</x:v>
      </x:c>
      <x:c r="AS68" s="12" t="str">
        <x:v>Precificação individual pendente</x:v>
      </x:c>
      <x:c r="AT68" s="12" t="str">
        <x:v>Avaliação visual; tratamentos não avaliados; confirmar naturalidade/tratamento em laboratório.</x:v>
      </x:c>
    </x:row>
    <x:row r="69">
      <x:c r="A69" s="12" t="str">
        <x:v>DG-EM-068</x:v>
      </x:c>
      <x:c r="B69" s="12" t="str"/>
      <x:c r="C69" s="12" t="str">
        <x:v>Emerald Collection</x:v>
      </x:c>
      <x:c r="D69" s="12" t="str">
        <x:v>Esmeraldas</x:v>
      </x:c>
      <x:c r="E69" s="12" t="str">
        <x:v>Berilo</x:v>
      </x:c>
      <x:c r="F69" s="12" t="str">
        <x:v>Esmeralda</x:v>
      </x:c>
      <x:c r="G69" s="12" t="str">
        <x:v>Gema individual</x:v>
      </x:c>
      <x:c r="H69" s="18" t="n">
        <x:v>1</x:v>
      </x:c>
      <x:c r="I69" s="12" t="str">
        <x:v>Redondo brilhante</x:v>
      </x:c>
      <x:c r="J69" s="12" t="str">
        <x:v>8 x 8 x 5</x:v>
      </x:c>
      <x:c r="K69" s="14" t="n">
        <x:v>1.405</x:v>
      </x:c>
      <x:c r="L69" s="12" t="str">
        <x:v>Sim</x:v>
      </x:c>
      <x:c r="M69" s="12" t="str">
        <x:v>Balança / informado</x:v>
      </x:c>
      <x:c r="N69" s="12" t="str">
        <x:v>Verde médio a intenso</x:v>
      </x:c>
      <x:c r="O69" s="12" t="str">
        <x:v>Semi-transparente a translúcida</x:v>
      </x:c>
      <x:c r="P69" s="12" t="str"/>
      <x:c r="Q69" s="12" t="str">
        <x:v>Não avaliado / não informado</x:v>
      </x:c>
      <x:c r="R69" s="12" t="str">
        <x:v>Não</x:v>
      </x:c>
      <x:c r="S69" s="12" t="str"/>
      <x:c r="T69" s="12" t="str"/>
      <x:c r="U69" s="20"/>
      <x:c r="V69" s="20"/>
      <x:c r="W69" s="20"/>
      <x:c r="X69" s="20"/>
      <x:c r="Y69" s="20"/>
      <x:c r="Z69" s="20"/>
      <x:c r="AA69" s="20"/>
      <x:c r="AB69" s="12" t="str">
        <x:v>Pendente de precificação individual</x:v>
      </x:c>
      <x:c r="AC69" s="16" t="n">
        <x:v>8.3</x:v>
      </x:c>
      <x:c r="AD69" s="12" t="str">
        <x:v>A-</x:v>
      </x:c>
      <x:c r="AE69" s="12" t="str">
        <x:v>A definir</x:v>
      </x:c>
      <x:c r="AF69" s="12" t="str">
        <x:v>Anel solitário / pingente</x:v>
      </x:c>
      <x:c r="AG69" s="12" t="str">
        <x:v>Anel solitário / pingente</x:v>
      </x:c>
      <x:c r="AH69" s="12" t="str">
        <x:v>Coleção</x:v>
      </x:c>
      <x:c r="AI69" s="12" t="str"/>
      <x:c r="AJ69" s="12" t="str"/>
      <x:c r="AK69" s="12" t="str"/>
      <x:c r="AL69" s="12" t="str"/>
      <x:c r="AM69" s="12" t="str">
        <x:v>Não informado</x:v>
      </x:c>
      <x:c r="AN69" s="12" t="str"/>
      <x:c r="AO69" s="12" t="str">
        <x:v>2026-07-01</x:v>
      </x:c>
      <x:c r="AP69" s="12" t="str">
        <x:v>2026-07-19</x:v>
      </x:c>
      <x:c r="AQ69" s="12" t="str">
        <x:v>Alta</x:v>
      </x:c>
      <x:c r="AR69" s="12" t="str">
        <x:v>Inventário mestre completo atualizado em 2026-07-01</x:v>
      </x:c>
      <x:c r="AS69" s="12" t="str">
        <x:v>Precificação individual pendente</x:v>
      </x:c>
      <x:c r="AT69" s="12" t="str">
        <x:v>Avaliação visual; tratamentos não avaliados; confirmar naturalidade/tratamento em laboratório.</x:v>
      </x:c>
    </x:row>
    <x:row r="70">
      <x:c r="A70" s="12" t="str">
        <x:v>DG-EM-069</x:v>
      </x:c>
      <x:c r="B70" s="12" t="str"/>
      <x:c r="C70" s="12" t="str">
        <x:v>Emerald Collection</x:v>
      </x:c>
      <x:c r="D70" s="12" t="str">
        <x:v>Esmeraldas</x:v>
      </x:c>
      <x:c r="E70" s="12" t="str">
        <x:v>Berilo</x:v>
      </x:c>
      <x:c r="F70" s="12" t="str">
        <x:v>Esmeralda</x:v>
      </x:c>
      <x:c r="G70" s="12" t="str">
        <x:v>Gema individual</x:v>
      </x:c>
      <x:c r="H70" s="18" t="n">
        <x:v>1</x:v>
      </x:c>
      <x:c r="I70" s="12" t="str">
        <x:v>Oval</x:v>
      </x:c>
      <x:c r="J70" s="12" t="str">
        <x:v>9 x 8 x 4</x:v>
      </x:c>
      <x:c r="K70" s="14" t="n">
        <x:v>1.545</x:v>
      </x:c>
      <x:c r="L70" s="12" t="str">
        <x:v>Sim</x:v>
      </x:c>
      <x:c r="M70" s="12" t="str">
        <x:v>Balança / informado</x:v>
      </x:c>
      <x:c r="N70" s="12" t="str">
        <x:v>Verde médio a intenso</x:v>
      </x:c>
      <x:c r="O70" s="12" t="str">
        <x:v>Semi-transparente a translúcida</x:v>
      </x:c>
      <x:c r="P70" s="12" t="str"/>
      <x:c r="Q70" s="12" t="str">
        <x:v>Não avaliado / não informado</x:v>
      </x:c>
      <x:c r="R70" s="12" t="str">
        <x:v>Não</x:v>
      </x:c>
      <x:c r="S70" s="12" t="str"/>
      <x:c r="T70" s="12" t="str"/>
      <x:c r="U70" s="20"/>
      <x:c r="V70" s="20"/>
      <x:c r="W70" s="20"/>
      <x:c r="X70" s="20"/>
      <x:c r="Y70" s="20"/>
      <x:c r="Z70" s="20"/>
      <x:c r="AA70" s="20"/>
      <x:c r="AB70" s="12" t="str">
        <x:v>Pendente de precificação individual</x:v>
      </x:c>
      <x:c r="AC70" s="16" t="n">
        <x:v>8.3</x:v>
      </x:c>
      <x:c r="AD70" s="12" t="str">
        <x:v>A-</x:v>
      </x:c>
      <x:c r="AE70" s="12" t="str">
        <x:v>A definir</x:v>
      </x:c>
      <x:c r="AF70" s="12" t="str">
        <x:v>Anel / pingente / brincos</x:v>
      </x:c>
      <x:c r="AG70" s="12" t="str">
        <x:v>Anel / pingente / brincos</x:v>
      </x:c>
      <x:c r="AH70" s="12" t="str">
        <x:v>Coleção</x:v>
      </x:c>
      <x:c r="AI70" s="12" t="str"/>
      <x:c r="AJ70" s="12" t="str"/>
      <x:c r="AK70" s="12" t="str"/>
      <x:c r="AL70" s="12" t="str"/>
      <x:c r="AM70" s="12" t="str">
        <x:v>Não informado</x:v>
      </x:c>
      <x:c r="AN70" s="12" t="str"/>
      <x:c r="AO70" s="12" t="str">
        <x:v>2026-07-01</x:v>
      </x:c>
      <x:c r="AP70" s="12" t="str">
        <x:v>2026-07-19</x:v>
      </x:c>
      <x:c r="AQ70" s="12" t="str">
        <x:v>Alta</x:v>
      </x:c>
      <x:c r="AR70" s="12" t="str">
        <x:v>Inventário mestre completo atualizado em 2026-07-01</x:v>
      </x:c>
      <x:c r="AS70" s="12" t="str">
        <x:v>Precificação individual pendente</x:v>
      </x:c>
      <x:c r="AT70" s="12" t="str">
        <x:v>Avaliação visual; tratamentos não avaliados; confirmar naturalidade/tratamento em laboratório.</x:v>
      </x:c>
    </x:row>
    <x:row r="71">
      <x:c r="A71" s="12" t="str">
        <x:v>DG-EM-070</x:v>
      </x:c>
      <x:c r="B71" s="12" t="str"/>
      <x:c r="C71" s="12" t="str">
        <x:v>Emerald Collection</x:v>
      </x:c>
      <x:c r="D71" s="12" t="str">
        <x:v>Esmeraldas</x:v>
      </x:c>
      <x:c r="E71" s="12" t="str">
        <x:v>Berilo</x:v>
      </x:c>
      <x:c r="F71" s="12" t="str">
        <x:v>Esmeralda</x:v>
      </x:c>
      <x:c r="G71" s="12" t="str">
        <x:v>Gema individual</x:v>
      </x:c>
      <x:c r="H71" s="18" t="n">
        <x:v>1</x:v>
      </x:c>
      <x:c r="I71" s="12" t="str">
        <x:v>Triangular / Trillion</x:v>
      </x:c>
      <x:c r="J71" s="12" t="str">
        <x:v>10 x 7 x 3</x:v>
      </x:c>
      <x:c r="K71" s="14" t="n">
        <x:v>0.875</x:v>
      </x:c>
      <x:c r="L71" s="12" t="str">
        <x:v>Sim</x:v>
      </x:c>
      <x:c r="M71" s="12" t="str">
        <x:v>Balança / informado</x:v>
      </x:c>
      <x:c r="N71" s="12" t="str">
        <x:v>Verde médio a intenso</x:v>
      </x:c>
      <x:c r="O71" s="12" t="str">
        <x:v>Semi-transparente a translúcida</x:v>
      </x:c>
      <x:c r="P71" s="12" t="str"/>
      <x:c r="Q71" s="12" t="str">
        <x:v>Não avaliado / não informado</x:v>
      </x:c>
      <x:c r="R71" s="12" t="str">
        <x:v>Não</x:v>
      </x:c>
      <x:c r="S71" s="12" t="str"/>
      <x:c r="T71" s="12" t="str"/>
      <x:c r="U71" s="20"/>
      <x:c r="V71" s="20"/>
      <x:c r="W71" s="20"/>
      <x:c r="X71" s="20"/>
      <x:c r="Y71" s="20"/>
      <x:c r="Z71" s="20"/>
      <x:c r="AA71" s="20"/>
      <x:c r="AB71" s="12" t="str">
        <x:v>Pendente de precificação individual</x:v>
      </x:c>
      <x:c r="AC71" s="16" t="n">
        <x:v>8</x:v>
      </x:c>
      <x:c r="AD71" s="12" t="str">
        <x:v>B+</x:v>
      </x:c>
      <x:c r="AE71" s="12" t="str">
        <x:v>A definir</x:v>
      </x:c>
      <x:c r="AF71" s="12" t="str">
        <x:v>Brincos / pingente contemporâneo</x:v>
      </x:c>
      <x:c r="AG71" s="12" t="str">
        <x:v>Brincos / pingente contemporâneo</x:v>
      </x:c>
      <x:c r="AH71" s="12" t="str">
        <x:v>Coleção</x:v>
      </x:c>
      <x:c r="AI71" s="12" t="str"/>
      <x:c r="AJ71" s="12" t="str"/>
      <x:c r="AK71" s="12" t="str"/>
      <x:c r="AL71" s="12" t="str"/>
      <x:c r="AM71" s="12" t="str">
        <x:v>Não informado</x:v>
      </x:c>
      <x:c r="AN71" s="12" t="str"/>
      <x:c r="AO71" s="12" t="str">
        <x:v>2026-07-01</x:v>
      </x:c>
      <x:c r="AP71" s="12" t="str">
        <x:v>2026-07-19</x:v>
      </x:c>
      <x:c r="AQ71" s="12" t="str">
        <x:v>Alta</x:v>
      </x:c>
      <x:c r="AR71" s="12" t="str">
        <x:v>Inventário mestre completo atualizado em 2026-07-01</x:v>
      </x:c>
      <x:c r="AS71" s="12" t="str">
        <x:v>Precificação individual pendente</x:v>
      </x:c>
      <x:c r="AT71" s="12" t="str">
        <x:v>Avaliação visual; tratamentos não avaliados; confirmar naturalidade/tratamento em laboratório.</x:v>
      </x:c>
    </x:row>
    <x:row r="72">
      <x:c r="A72" s="12" t="str">
        <x:v>DG-EM-071</x:v>
      </x:c>
      <x:c r="B72" s="12" t="str"/>
      <x:c r="C72" s="12" t="str">
        <x:v>Emerald Collection</x:v>
      </x:c>
      <x:c r="D72" s="12" t="str">
        <x:v>Esmeraldas</x:v>
      </x:c>
      <x:c r="E72" s="12" t="str">
        <x:v>Berilo</x:v>
      </x:c>
      <x:c r="F72" s="12" t="str">
        <x:v>Esmeralda</x:v>
      </x:c>
      <x:c r="G72" s="12" t="str">
        <x:v>Gema individual</x:v>
      </x:c>
      <x:c r="H72" s="18" t="n">
        <x:v>1</x:v>
      </x:c>
      <x:c r="I72" s="12" t="str">
        <x:v>Oval</x:v>
      </x:c>
      <x:c r="J72" s="12" t="str">
        <x:v>8 x 6 x 4</x:v>
      </x:c>
      <x:c r="K72" s="14" t="n">
        <x:v>1</x:v>
      </x:c>
      <x:c r="L72" s="12" t="str">
        <x:v>Sim</x:v>
      </x:c>
      <x:c r="M72" s="12" t="str">
        <x:v>Balança / informado</x:v>
      </x:c>
      <x:c r="N72" s="12" t="str">
        <x:v>Verde médio a intenso</x:v>
      </x:c>
      <x:c r="O72" s="12" t="str">
        <x:v>Semi-transparente a translúcida</x:v>
      </x:c>
      <x:c r="P72" s="12" t="str"/>
      <x:c r="Q72" s="12" t="str">
        <x:v>Não avaliado / não informado</x:v>
      </x:c>
      <x:c r="R72" s="12" t="str">
        <x:v>Não</x:v>
      </x:c>
      <x:c r="S72" s="12" t="str"/>
      <x:c r="T72" s="12" t="str"/>
      <x:c r="U72" s="20"/>
      <x:c r="V72" s="20"/>
      <x:c r="W72" s="20"/>
      <x:c r="X72" s="20"/>
      <x:c r="Y72" s="20"/>
      <x:c r="Z72" s="20"/>
      <x:c r="AA72" s="20"/>
      <x:c r="AB72" s="12" t="str">
        <x:v>Pendente de precificação individual</x:v>
      </x:c>
      <x:c r="AC72" s="16" t="n">
        <x:v>8</x:v>
      </x:c>
      <x:c r="AD72" s="12" t="str">
        <x:v>B+</x:v>
      </x:c>
      <x:c r="AE72" s="12" t="str">
        <x:v>A definir</x:v>
      </x:c>
      <x:c r="AF72" s="12" t="str">
        <x:v>Anel / brincos / pingente</x:v>
      </x:c>
      <x:c r="AG72" s="12" t="str">
        <x:v>Anel / brincos / pingente</x:v>
      </x:c>
      <x:c r="AH72" s="12" t="str">
        <x:v>Coleção</x:v>
      </x:c>
      <x:c r="AI72" s="12" t="str"/>
      <x:c r="AJ72" s="12" t="str"/>
      <x:c r="AK72" s="12" t="str"/>
      <x:c r="AL72" s="12" t="str"/>
      <x:c r="AM72" s="12" t="str">
        <x:v>Não informado</x:v>
      </x:c>
      <x:c r="AN72" s="12" t="str"/>
      <x:c r="AO72" s="12" t="str">
        <x:v>2026-07-01</x:v>
      </x:c>
      <x:c r="AP72" s="12" t="str">
        <x:v>2026-07-19</x:v>
      </x:c>
      <x:c r="AQ72" s="12" t="str">
        <x:v>Alta</x:v>
      </x:c>
      <x:c r="AR72" s="12" t="str">
        <x:v>Inventário mestre completo atualizado em 2026-07-01</x:v>
      </x:c>
      <x:c r="AS72" s="12" t="str">
        <x:v>Precificação individual pendente</x:v>
      </x:c>
      <x:c r="AT72" s="12" t="str">
        <x:v>Avaliação visual; tratamentos não avaliados; confirmar naturalidade/tratamento em laboratório.</x:v>
      </x:c>
    </x:row>
    <x:row r="73">
      <x:c r="A73" s="12" t="str">
        <x:v>DG-EM-072</x:v>
      </x:c>
      <x:c r="B73" s="12" t="str"/>
      <x:c r="C73" s="12" t="str">
        <x:v>Emerald Collection</x:v>
      </x:c>
      <x:c r="D73" s="12" t="str">
        <x:v>Esmeraldas</x:v>
      </x:c>
      <x:c r="E73" s="12" t="str">
        <x:v>Berilo</x:v>
      </x:c>
      <x:c r="F73" s="12" t="str">
        <x:v>Esmeralda</x:v>
      </x:c>
      <x:c r="G73" s="12" t="str">
        <x:v>Gema individual</x:v>
      </x:c>
      <x:c r="H73" s="18" t="n">
        <x:v>1</x:v>
      </x:c>
      <x:c r="I73" s="12" t="str">
        <x:v>Quadrado octogonal</x:v>
      </x:c>
      <x:c r="J73" s="12" t="str">
        <x:v>7 x 7 x 5</x:v>
      </x:c>
      <x:c r="K73" s="14" t="n">
        <x:v>1.58</x:v>
      </x:c>
      <x:c r="L73" s="12" t="str">
        <x:v>Sim</x:v>
      </x:c>
      <x:c r="M73" s="12" t="str">
        <x:v>Balança / informado</x:v>
      </x:c>
      <x:c r="N73" s="12" t="str">
        <x:v>Verde médio azulado</x:v>
      </x:c>
      <x:c r="O73" s="12" t="str">
        <x:v>Semi-transparente a translúcida</x:v>
      </x:c>
      <x:c r="P73" s="12" t="str"/>
      <x:c r="Q73" s="12" t="str">
        <x:v>Não avaliado / não informado</x:v>
      </x:c>
      <x:c r="R73" s="12" t="str">
        <x:v>Não</x:v>
      </x:c>
      <x:c r="S73" s="12" t="str"/>
      <x:c r="T73" s="12" t="str"/>
      <x:c r="U73" s="20"/>
      <x:c r="V73" s="20"/>
      <x:c r="W73" s="20"/>
      <x:c r="X73" s="20"/>
      <x:c r="Y73" s="20"/>
      <x:c r="Z73" s="20"/>
      <x:c r="AA73" s="20"/>
      <x:c r="AB73" s="12" t="str">
        <x:v>Pendente de precificação individual</x:v>
      </x:c>
      <x:c r="AC73" s="16" t="n">
        <x:v>8.3</x:v>
      </x:c>
      <x:c r="AD73" s="12" t="str">
        <x:v>A-</x:v>
      </x:c>
      <x:c r="AE73" s="12" t="str">
        <x:v>A definir</x:v>
      </x:c>
      <x:c r="AF73" s="12" t="str">
        <x:v>Anel solitário geométrico</x:v>
      </x:c>
      <x:c r="AG73" s="12" t="str">
        <x:v>Anel solitário geométrico</x:v>
      </x:c>
      <x:c r="AH73" s="12" t="str">
        <x:v>Coleção</x:v>
      </x:c>
      <x:c r="AI73" s="12" t="str"/>
      <x:c r="AJ73" s="12" t="str"/>
      <x:c r="AK73" s="12" t="str"/>
      <x:c r="AL73" s="12" t="str"/>
      <x:c r="AM73" s="12" t="str">
        <x:v>Não informado</x:v>
      </x:c>
      <x:c r="AN73" s="12" t="str"/>
      <x:c r="AO73" s="12" t="str">
        <x:v>2026-07-01</x:v>
      </x:c>
      <x:c r="AP73" s="12" t="str">
        <x:v>2026-07-19</x:v>
      </x:c>
      <x:c r="AQ73" s="12" t="str">
        <x:v>Alta</x:v>
      </x:c>
      <x:c r="AR73" s="12" t="str">
        <x:v>Inventário mestre completo atualizado em 2026-07-01</x:v>
      </x:c>
      <x:c r="AS73" s="12" t="str">
        <x:v>Precificação individual pendente</x:v>
      </x:c>
      <x:c r="AT73" s="12" t="str">
        <x:v>Avaliação visual; tratamentos não avaliados; confirmar naturalidade/tratamento em laboratório.</x:v>
      </x:c>
    </x:row>
    <x:row r="74">
      <x:c r="A74" s="12" t="str">
        <x:v>DG-EM-073</x:v>
      </x:c>
      <x:c r="B74" s="12" t="str"/>
      <x:c r="C74" s="12" t="str">
        <x:v>Emerald Collection</x:v>
      </x:c>
      <x:c r="D74" s="12" t="str">
        <x:v>Esmeraldas</x:v>
      </x:c>
      <x:c r="E74" s="12" t="str">
        <x:v>Berilo</x:v>
      </x:c>
      <x:c r="F74" s="12" t="str">
        <x:v>Esmeralda</x:v>
      </x:c>
      <x:c r="G74" s="12" t="str">
        <x:v>Gema individual</x:v>
      </x:c>
      <x:c r="H74" s="18" t="n">
        <x:v>1</x:v>
      </x:c>
      <x:c r="I74" s="12" t="str">
        <x:v>Emerald Cut retangular</x:v>
      </x:c>
      <x:c r="J74" s="12" t="str">
        <x:v>9 x 6 x 5</x:v>
      </x:c>
      <x:c r="K74" s="14" t="n">
        <x:v>1.59</x:v>
      </x:c>
      <x:c r="L74" s="12" t="str">
        <x:v>Sim</x:v>
      </x:c>
      <x:c r="M74" s="12" t="str">
        <x:v>Balança / informado</x:v>
      </x:c>
      <x:c r="N74" s="12" t="str">
        <x:v>Verde intenso</x:v>
      </x:c>
      <x:c r="O74" s="12" t="str">
        <x:v>Semi-transparente a translúcida</x:v>
      </x:c>
      <x:c r="P74" s="12" t="str"/>
      <x:c r="Q74" s="12" t="str">
        <x:v>Não avaliado / não informado</x:v>
      </x:c>
      <x:c r="R74" s="12" t="str">
        <x:v>Não</x:v>
      </x:c>
      <x:c r="S74" s="12" t="str"/>
      <x:c r="T74" s="12" t="str"/>
      <x:c r="U74" s="20"/>
      <x:c r="V74" s="20"/>
      <x:c r="W74" s="20"/>
      <x:c r="X74" s="20"/>
      <x:c r="Y74" s="20"/>
      <x:c r="Z74" s="20"/>
      <x:c r="AA74" s="20"/>
      <x:c r="AB74" s="12" t="str">
        <x:v>Pendente de precificação individual</x:v>
      </x:c>
      <x:c r="AC74" s="16" t="n">
        <x:v>8.4</x:v>
      </x:c>
      <x:c r="AD74" s="12" t="str">
        <x:v>A-</x:v>
      </x:c>
      <x:c r="AE74" s="12" t="str">
        <x:v>A definir</x:v>
      </x:c>
      <x:c r="AF74" s="12" t="str">
        <x:v>Anel clássico / pingente</x:v>
      </x:c>
      <x:c r="AG74" s="12" t="str">
        <x:v>Anel clássico / pingente</x:v>
      </x:c>
      <x:c r="AH74" s="12" t="str">
        <x:v>Coleção</x:v>
      </x:c>
      <x:c r="AI74" s="12" t="str"/>
      <x:c r="AJ74" s="12" t="str"/>
      <x:c r="AK74" s="12" t="str"/>
      <x:c r="AL74" s="12" t="str"/>
      <x:c r="AM74" s="12" t="str">
        <x:v>Não informado</x:v>
      </x:c>
      <x:c r="AN74" s="12" t="str"/>
      <x:c r="AO74" s="12" t="str">
        <x:v>2026-07-01</x:v>
      </x:c>
      <x:c r="AP74" s="12" t="str">
        <x:v>2026-07-19</x:v>
      </x:c>
      <x:c r="AQ74" s="12" t="str">
        <x:v>Alta</x:v>
      </x:c>
      <x:c r="AR74" s="12" t="str">
        <x:v>Inventário mestre completo atualizado em 2026-07-01</x:v>
      </x:c>
      <x:c r="AS74" s="12" t="str">
        <x:v>Precificação individual pendente</x:v>
      </x:c>
      <x:c r="AT74" s="12" t="str">
        <x:v>Avaliação visual; tratamentos não avaliados; confirmar naturalidade/tratamento em laboratório.</x:v>
      </x:c>
    </x:row>
    <x:row r="75">
      <x:c r="A75" s="12" t="str">
        <x:v>DG-EM-074</x:v>
      </x:c>
      <x:c r="B75" s="12" t="str"/>
      <x:c r="C75" s="12" t="str">
        <x:v>Emerald Collection</x:v>
      </x:c>
      <x:c r="D75" s="12" t="str">
        <x:v>Esmeraldas</x:v>
      </x:c>
      <x:c r="E75" s="12" t="str">
        <x:v>Berilo</x:v>
      </x:c>
      <x:c r="F75" s="12" t="str">
        <x:v>Esmeralda</x:v>
      </x:c>
      <x:c r="G75" s="12" t="str">
        <x:v>Gema individual</x:v>
      </x:c>
      <x:c r="H75" s="18" t="n">
        <x:v>1</x:v>
      </x:c>
      <x:c r="I75" s="12" t="str">
        <x:v>Quadrado octogonal</x:v>
      </x:c>
      <x:c r="J75" s="12" t="str">
        <x:v>7 x 7 x 4</x:v>
      </x:c>
      <x:c r="K75" s="14" t="n">
        <x:v>1.235</x:v>
      </x:c>
      <x:c r="L75" s="12" t="str">
        <x:v>Sim</x:v>
      </x:c>
      <x:c r="M75" s="12" t="str">
        <x:v>Balança / informado</x:v>
      </x:c>
      <x:c r="N75" s="12" t="str">
        <x:v>Verde médio azulado</x:v>
      </x:c>
      <x:c r="O75" s="12" t="str">
        <x:v>Semi-transparente a translúcida</x:v>
      </x:c>
      <x:c r="P75" s="12" t="str"/>
      <x:c r="Q75" s="12" t="str">
        <x:v>Não avaliado / não informado</x:v>
      </x:c>
      <x:c r="R75" s="12" t="str">
        <x:v>Não</x:v>
      </x:c>
      <x:c r="S75" s="12" t="str"/>
      <x:c r="T75" s="12" t="str"/>
      <x:c r="U75" s="20"/>
      <x:c r="V75" s="20"/>
      <x:c r="W75" s="20"/>
      <x:c r="X75" s="20"/>
      <x:c r="Y75" s="20"/>
      <x:c r="Z75" s="20"/>
      <x:c r="AA75" s="20"/>
      <x:c r="AB75" s="12" t="str">
        <x:v>Pendente de precificação individual</x:v>
      </x:c>
      <x:c r="AC75" s="16" t="n">
        <x:v>8.1</x:v>
      </x:c>
      <x:c r="AD75" s="12" t="str">
        <x:v>B+</x:v>
      </x:c>
      <x:c r="AE75" s="12" t="str">
        <x:v>A definir</x:v>
      </x:c>
      <x:c r="AF75" s="12" t="str">
        <x:v>Anel clássico / brincos</x:v>
      </x:c>
      <x:c r="AG75" s="12" t="str">
        <x:v>Anel clássico / brincos</x:v>
      </x:c>
      <x:c r="AH75" s="12" t="str">
        <x:v>Coleção</x:v>
      </x:c>
      <x:c r="AI75" s="12" t="str"/>
      <x:c r="AJ75" s="12" t="str"/>
      <x:c r="AK75" s="12" t="str"/>
      <x:c r="AL75" s="12" t="str"/>
      <x:c r="AM75" s="12" t="str">
        <x:v>Não informado</x:v>
      </x:c>
      <x:c r="AN75" s="12" t="str"/>
      <x:c r="AO75" s="12" t="str">
        <x:v>2026-07-01</x:v>
      </x:c>
      <x:c r="AP75" s="12" t="str">
        <x:v>2026-07-19</x:v>
      </x:c>
      <x:c r="AQ75" s="12" t="str">
        <x:v>Alta</x:v>
      </x:c>
      <x:c r="AR75" s="12" t="str">
        <x:v>Inventário mestre completo atualizado em 2026-07-01</x:v>
      </x:c>
      <x:c r="AS75" s="12" t="str">
        <x:v>Precificação individual pendente</x:v>
      </x:c>
      <x:c r="AT75" s="12" t="str">
        <x:v>Avaliação visual; tratamentos não avaliados; confirmar naturalidade/tratamento em laboratório.</x:v>
      </x:c>
    </x:row>
    <x:row r="76">
      <x:c r="A76" s="12" t="str">
        <x:v>DG-EM-075</x:v>
      </x:c>
      <x:c r="B76" s="12" t="str"/>
      <x:c r="C76" s="12" t="str">
        <x:v>Emerald Collection</x:v>
      </x:c>
      <x:c r="D76" s="12" t="str">
        <x:v>Esmeraldas</x:v>
      </x:c>
      <x:c r="E76" s="12" t="str">
        <x:v>Berilo</x:v>
      </x:c>
      <x:c r="F76" s="12" t="str">
        <x:v>Esmeralda</x:v>
      </x:c>
      <x:c r="G76" s="12" t="str">
        <x:v>Gema individual</x:v>
      </x:c>
      <x:c r="H76" s="18" t="n">
        <x:v>1</x:v>
      </x:c>
      <x:c r="I76" s="12" t="str">
        <x:v>Quadrado octogonal</x:v>
      </x:c>
      <x:c r="J76" s="12" t="str">
        <x:v>7 x 7 x 4</x:v>
      </x:c>
      <x:c r="K76" s="14" t="n">
        <x:v>1.065</x:v>
      </x:c>
      <x:c r="L76" s="12" t="str">
        <x:v>Sim</x:v>
      </x:c>
      <x:c r="M76" s="12" t="str">
        <x:v>Balança / informado</x:v>
      </x:c>
      <x:c r="N76" s="12" t="str">
        <x:v>Verde médio azulado</x:v>
      </x:c>
      <x:c r="O76" s="12" t="str">
        <x:v>Semi-transparente a translúcida</x:v>
      </x:c>
      <x:c r="P76" s="12" t="str"/>
      <x:c r="Q76" s="12" t="str">
        <x:v>Não avaliado / não informado</x:v>
      </x:c>
      <x:c r="R76" s="12" t="str">
        <x:v>Não</x:v>
      </x:c>
      <x:c r="S76" s="12" t="str"/>
      <x:c r="T76" s="12" t="str"/>
      <x:c r="U76" s="20"/>
      <x:c r="V76" s="20"/>
      <x:c r="W76" s="20"/>
      <x:c r="X76" s="20"/>
      <x:c r="Y76" s="20"/>
      <x:c r="Z76" s="20"/>
      <x:c r="AA76" s="20"/>
      <x:c r="AB76" s="12" t="str">
        <x:v>Pendente de precificação individual</x:v>
      </x:c>
      <x:c r="AC76" s="16" t="n">
        <x:v>8</x:v>
      </x:c>
      <x:c r="AD76" s="12" t="str">
        <x:v>B+</x:v>
      </x:c>
      <x:c r="AE76" s="12" t="str">
        <x:v>A definir</x:v>
      </x:c>
      <x:c r="AF76" s="12" t="str">
        <x:v>Anel delicado / brincos</x:v>
      </x:c>
      <x:c r="AG76" s="12" t="str">
        <x:v>Anel delicado / brincos</x:v>
      </x:c>
      <x:c r="AH76" s="12" t="str">
        <x:v>Coleção</x:v>
      </x:c>
      <x:c r="AI76" s="12" t="str"/>
      <x:c r="AJ76" s="12" t="str"/>
      <x:c r="AK76" s="12" t="str"/>
      <x:c r="AL76" s="12" t="str"/>
      <x:c r="AM76" s="12" t="str">
        <x:v>Não informado</x:v>
      </x:c>
      <x:c r="AN76" s="12" t="str"/>
      <x:c r="AO76" s="12" t="str">
        <x:v>2026-07-01</x:v>
      </x:c>
      <x:c r="AP76" s="12" t="str">
        <x:v>2026-07-19</x:v>
      </x:c>
      <x:c r="AQ76" s="12" t="str">
        <x:v>Alta</x:v>
      </x:c>
      <x:c r="AR76" s="12" t="str">
        <x:v>Inventário mestre completo atualizado em 2026-07-01</x:v>
      </x:c>
      <x:c r="AS76" s="12" t="str">
        <x:v>Precificação individual pendente</x:v>
      </x:c>
      <x:c r="AT76" s="12" t="str">
        <x:v>Avaliação visual; tratamentos não avaliados; confirmar naturalidade/tratamento em laboratório.</x:v>
      </x:c>
    </x:row>
    <x:row r="77">
      <x:c r="A77" s="12" t="str">
        <x:v>DG-EM-076</x:v>
      </x:c>
      <x:c r="B77" s="12" t="str"/>
      <x:c r="C77" s="12" t="str">
        <x:v>Emerald Collection</x:v>
      </x:c>
      <x:c r="D77" s="12" t="str">
        <x:v>Esmeraldas</x:v>
      </x:c>
      <x:c r="E77" s="12" t="str">
        <x:v>Berilo</x:v>
      </x:c>
      <x:c r="F77" s="12" t="str">
        <x:v>Esmeralda</x:v>
      </x:c>
      <x:c r="G77" s="12" t="str">
        <x:v>Gema individual</x:v>
      </x:c>
      <x:c r="H77" s="18" t="n">
        <x:v>1</x:v>
      </x:c>
      <x:c r="I77" s="12" t="str">
        <x:v>Redondo brilhante</x:v>
      </x:c>
      <x:c r="J77" s="12" t="str">
        <x:v>6.5 x 6.5 x 4</x:v>
      </x:c>
      <x:c r="K77" s="14" t="n">
        <x:v>0.92</x:v>
      </x:c>
      <x:c r="L77" s="12" t="str">
        <x:v>Sim</x:v>
      </x:c>
      <x:c r="M77" s="12" t="str">
        <x:v>Balança / informado</x:v>
      </x:c>
      <x:c r="N77" s="12" t="str">
        <x:v>Verde médio a intenso</x:v>
      </x:c>
      <x:c r="O77" s="12" t="str">
        <x:v>Semi-transparente a translúcida</x:v>
      </x:c>
      <x:c r="P77" s="12" t="str"/>
      <x:c r="Q77" s="12" t="str">
        <x:v>Não avaliado / não informado</x:v>
      </x:c>
      <x:c r="R77" s="12" t="str">
        <x:v>Não</x:v>
      </x:c>
      <x:c r="S77" s="12" t="str"/>
      <x:c r="T77" s="12" t="str"/>
      <x:c r="U77" s="20"/>
      <x:c r="V77" s="20"/>
      <x:c r="W77" s="20"/>
      <x:c r="X77" s="20"/>
      <x:c r="Y77" s="20"/>
      <x:c r="Z77" s="20"/>
      <x:c r="AA77" s="20"/>
      <x:c r="AB77" s="12" t="str">
        <x:v>Pendente de precificação individual</x:v>
      </x:c>
      <x:c r="AC77" s="16" t="n">
        <x:v>8.1</x:v>
      </x:c>
      <x:c r="AD77" s="12" t="str">
        <x:v>B+</x:v>
      </x:c>
      <x:c r="AE77" s="12" t="str">
        <x:v>A definir</x:v>
      </x:c>
      <x:c r="AF77" s="12" t="str">
        <x:v>Anel delicado / pingente / brinco</x:v>
      </x:c>
      <x:c r="AG77" s="12" t="str">
        <x:v>Anel delicado / pingente / brinco</x:v>
      </x:c>
      <x:c r="AH77" s="12" t="str">
        <x:v>Coleção</x:v>
      </x:c>
      <x:c r="AI77" s="12" t="str"/>
      <x:c r="AJ77" s="12" t="str"/>
      <x:c r="AK77" s="12" t="str"/>
      <x:c r="AL77" s="12" t="str"/>
      <x:c r="AM77" s="12" t="str">
        <x:v>Não informado</x:v>
      </x:c>
      <x:c r="AN77" s="12" t="str"/>
      <x:c r="AO77" s="12" t="str">
        <x:v>2026-07-01</x:v>
      </x:c>
      <x:c r="AP77" s="12" t="str">
        <x:v>2026-07-19</x:v>
      </x:c>
      <x:c r="AQ77" s="12" t="str">
        <x:v>Alta</x:v>
      </x:c>
      <x:c r="AR77" s="12" t="str">
        <x:v>Inventário mestre completo atualizado em 2026-07-01</x:v>
      </x:c>
      <x:c r="AS77" s="12" t="str">
        <x:v>Precificação individual pendente</x:v>
      </x:c>
      <x:c r="AT77" s="12" t="str">
        <x:v>Avaliação visual; tratamentos não avaliados; confirmar naturalidade/tratamento em laboratório.</x:v>
      </x:c>
    </x:row>
    <x:row r="78">
      <x:c r="A78" s="12" t="str">
        <x:v>DG-EM-077</x:v>
      </x:c>
      <x:c r="B78" s="12" t="str"/>
      <x:c r="C78" s="12" t="str">
        <x:v>Emerald Collection</x:v>
      </x:c>
      <x:c r="D78" s="12" t="str">
        <x:v>Esmeraldas</x:v>
      </x:c>
      <x:c r="E78" s="12" t="str">
        <x:v>Berilo</x:v>
      </x:c>
      <x:c r="F78" s="12" t="str">
        <x:v>Esmeralda</x:v>
      </x:c>
      <x:c r="G78" s="12" t="str">
        <x:v>Gema individual</x:v>
      </x:c>
      <x:c r="H78" s="18" t="n">
        <x:v>1</x:v>
      </x:c>
      <x:c r="I78" s="12" t="str">
        <x:v>Redondo brilhante</x:v>
      </x:c>
      <x:c r="J78" s="12" t="str">
        <x:v>6 x 6 x 3</x:v>
      </x:c>
      <x:c r="K78" s="14" t="n">
        <x:v>0.585</x:v>
      </x:c>
      <x:c r="L78" s="12" t="str">
        <x:v>Sim</x:v>
      </x:c>
      <x:c r="M78" s="12" t="str">
        <x:v>Balança / informado</x:v>
      </x:c>
      <x:c r="N78" s="12" t="str">
        <x:v>Verde médio a intenso</x:v>
      </x:c>
      <x:c r="O78" s="12" t="str">
        <x:v>Semi-transparente a translúcida</x:v>
      </x:c>
      <x:c r="P78" s="12" t="str"/>
      <x:c r="Q78" s="12" t="str">
        <x:v>Não avaliado / não informado</x:v>
      </x:c>
      <x:c r="R78" s="12" t="str">
        <x:v>Não</x:v>
      </x:c>
      <x:c r="S78" s="12" t="str"/>
      <x:c r="T78" s="12" t="str"/>
      <x:c r="U78" s="20"/>
      <x:c r="V78" s="20"/>
      <x:c r="W78" s="20"/>
      <x:c r="X78" s="20"/>
      <x:c r="Y78" s="20"/>
      <x:c r="Z78" s="20"/>
      <x:c r="AA78" s="20"/>
      <x:c r="AB78" s="12" t="str">
        <x:v>Pendente de precificação individual</x:v>
      </x:c>
      <x:c r="AC78" s="16" t="n">
        <x:v>7.8</x:v>
      </x:c>
      <x:c r="AD78" s="12" t="str">
        <x:v>B</x:v>
      </x:c>
      <x:c r="AE78" s="12" t="str">
        <x:v>A definir</x:v>
      </x:c>
      <x:c r="AF78" s="12" t="str">
        <x:v>Brincos / pingente pequeno</x:v>
      </x:c>
      <x:c r="AG78" s="12" t="str">
        <x:v>Brincos / pingente pequeno</x:v>
      </x:c>
      <x:c r="AH78" s="12" t="str">
        <x:v>Coleção</x:v>
      </x:c>
      <x:c r="AI78" s="12" t="str"/>
      <x:c r="AJ78" s="12" t="str"/>
      <x:c r="AK78" s="12" t="str"/>
      <x:c r="AL78" s="12" t="str"/>
      <x:c r="AM78" s="12" t="str">
        <x:v>Não informado</x:v>
      </x:c>
      <x:c r="AN78" s="12" t="str"/>
      <x:c r="AO78" s="12" t="str">
        <x:v>2026-07-01</x:v>
      </x:c>
      <x:c r="AP78" s="12" t="str">
        <x:v>2026-07-19</x:v>
      </x:c>
      <x:c r="AQ78" s="12" t="str">
        <x:v>Alta</x:v>
      </x:c>
      <x:c r="AR78" s="12" t="str">
        <x:v>Inventário mestre completo atualizado em 2026-07-01</x:v>
      </x:c>
      <x:c r="AS78" s="12" t="str">
        <x:v>Precificação individual pendente</x:v>
      </x:c>
      <x:c r="AT78" s="12" t="str">
        <x:v>Avaliação visual; tratamentos não avaliados; confirmar naturalidade/tratamento em laboratório.</x:v>
      </x:c>
    </x:row>
    <x:row r="79">
      <x:c r="A79" s="12" t="str">
        <x:v>DG-EM-078</x:v>
      </x:c>
      <x:c r="B79" s="12" t="str"/>
      <x:c r="C79" s="12" t="str">
        <x:v>Emerald Collection</x:v>
      </x:c>
      <x:c r="D79" s="12" t="str">
        <x:v>Esmeraldas</x:v>
      </x:c>
      <x:c r="E79" s="12" t="str">
        <x:v>Berilo</x:v>
      </x:c>
      <x:c r="F79" s="12" t="str">
        <x:v>Esmeralda</x:v>
      </x:c>
      <x:c r="G79" s="12" t="str">
        <x:v>Gema individual</x:v>
      </x:c>
      <x:c r="H79" s="18" t="n">
        <x:v>1</x:v>
      </x:c>
      <x:c r="I79" s="12" t="str">
        <x:v>Redondo brilhante</x:v>
      </x:c>
      <x:c r="J79" s="12" t="str">
        <x:v>7 x 7 x 5</x:v>
      </x:c>
      <x:c r="K79" s="14" t="n">
        <x:v>1.19</x:v>
      </x:c>
      <x:c r="L79" s="12" t="str">
        <x:v>Sim</x:v>
      </x:c>
      <x:c r="M79" s="12" t="str">
        <x:v>Balança / informado</x:v>
      </x:c>
      <x:c r="N79" s="12" t="str">
        <x:v>Verde vivo</x:v>
      </x:c>
      <x:c r="O79" s="12" t="str">
        <x:v>Semi-transparente a translúcida</x:v>
      </x:c>
      <x:c r="P79" s="12" t="str"/>
      <x:c r="Q79" s="12" t="str">
        <x:v>Não avaliado / não informado</x:v>
      </x:c>
      <x:c r="R79" s="12" t="str">
        <x:v>Não</x:v>
      </x:c>
      <x:c r="S79" s="12" t="str"/>
      <x:c r="T79" s="12" t="str"/>
      <x:c r="U79" s="20"/>
      <x:c r="V79" s="20"/>
      <x:c r="W79" s="20"/>
      <x:c r="X79" s="20"/>
      <x:c r="Y79" s="20"/>
      <x:c r="Z79" s="20"/>
      <x:c r="AA79" s="20"/>
      <x:c r="AB79" s="12" t="str">
        <x:v>Pendente de precificação individual</x:v>
      </x:c>
      <x:c r="AC79" s="16" t="n">
        <x:v>8.1</x:v>
      </x:c>
      <x:c r="AD79" s="12" t="str">
        <x:v>B+</x:v>
      </x:c>
      <x:c r="AE79" s="12" t="str">
        <x:v>A definir</x:v>
      </x:c>
      <x:c r="AF79" s="12" t="str">
        <x:v>Anel solitário delicado / pingente</x:v>
      </x:c>
      <x:c r="AG79" s="12" t="str">
        <x:v>Anel solitário delicado / pingente</x:v>
      </x:c>
      <x:c r="AH79" s="12" t="str">
        <x:v>Coleção</x:v>
      </x:c>
      <x:c r="AI79" s="12" t="str"/>
      <x:c r="AJ79" s="12" t="str"/>
      <x:c r="AK79" s="12" t="str"/>
      <x:c r="AL79" s="12" t="str"/>
      <x:c r="AM79" s="12" t="str">
        <x:v>Não informado</x:v>
      </x:c>
      <x:c r="AN79" s="12" t="str"/>
      <x:c r="AO79" s="12" t="str">
        <x:v>2026-07-01</x:v>
      </x:c>
      <x:c r="AP79" s="12" t="str">
        <x:v>2026-07-19</x:v>
      </x:c>
      <x:c r="AQ79" s="12" t="str">
        <x:v>Alta</x:v>
      </x:c>
      <x:c r="AR79" s="12" t="str">
        <x:v>Inventário mestre completo atualizado em 2026-07-01</x:v>
      </x:c>
      <x:c r="AS79" s="12" t="str">
        <x:v>Precificação individual pendente</x:v>
      </x:c>
      <x:c r="AT79" s="12" t="str">
        <x:v>Avaliação visual; tratamentos não avaliados; confirmar naturalidade/tratamento em laboratório.</x:v>
      </x:c>
    </x:row>
    <x:row r="80">
      <x:c r="A80" s="12" t="str">
        <x:v>DG-EM-079</x:v>
      </x:c>
      <x:c r="B80" s="12" t="str"/>
      <x:c r="C80" s="12" t="str">
        <x:v>Emerald Collection</x:v>
      </x:c>
      <x:c r="D80" s="12" t="str">
        <x:v>Esmeraldas</x:v>
      </x:c>
      <x:c r="E80" s="12" t="str">
        <x:v>Berilo</x:v>
      </x:c>
      <x:c r="F80" s="12" t="str">
        <x:v>Esmeralda</x:v>
      </x:c>
      <x:c r="G80" s="12" t="str">
        <x:v>Gema individual</x:v>
      </x:c>
      <x:c r="H80" s="18" t="n">
        <x:v>1</x:v>
      </x:c>
      <x:c r="I80" s="12" t="str">
        <x:v>Redondo brilhante</x:v>
      </x:c>
      <x:c r="J80" s="12" t="str">
        <x:v>6 x 6 x 3</x:v>
      </x:c>
      <x:c r="K80" s="14" t="n">
        <x:v>0.585</x:v>
      </x:c>
      <x:c r="L80" s="12" t="str">
        <x:v>Sim</x:v>
      </x:c>
      <x:c r="M80" s="12" t="str">
        <x:v>Balança / informado</x:v>
      </x:c>
      <x:c r="N80" s="12" t="str">
        <x:v>Verde médio amarelado</x:v>
      </x:c>
      <x:c r="O80" s="12" t="str">
        <x:v>Semi-transparente a translúcida</x:v>
      </x:c>
      <x:c r="P80" s="12" t="str"/>
      <x:c r="Q80" s="12" t="str">
        <x:v>Não avaliado / não informado</x:v>
      </x:c>
      <x:c r="R80" s="12" t="str">
        <x:v>Não</x:v>
      </x:c>
      <x:c r="S80" s="12" t="str"/>
      <x:c r="T80" s="12" t="str"/>
      <x:c r="U80" s="20"/>
      <x:c r="V80" s="20"/>
      <x:c r="W80" s="20"/>
      <x:c r="X80" s="20"/>
      <x:c r="Y80" s="20"/>
      <x:c r="Z80" s="20"/>
      <x:c r="AA80" s="20"/>
      <x:c r="AB80" s="12" t="str">
        <x:v>Pendente de precificação individual</x:v>
      </x:c>
      <x:c r="AC80" s="16" t="n">
        <x:v>7.8</x:v>
      </x:c>
      <x:c r="AD80" s="12" t="str">
        <x:v>B</x:v>
      </x:c>
      <x:c r="AE80" s="12" t="str">
        <x:v>A definir</x:v>
      </x:c>
      <x:c r="AF80" s="12" t="str">
        <x:v>Brinco / pingente minimalista</x:v>
      </x:c>
      <x:c r="AG80" s="12" t="str">
        <x:v>Brinco / pingente minimalista</x:v>
      </x:c>
      <x:c r="AH80" s="12" t="str">
        <x:v>Coleção</x:v>
      </x:c>
      <x:c r="AI80" s="12" t="str"/>
      <x:c r="AJ80" s="12" t="str"/>
      <x:c r="AK80" s="12" t="str"/>
      <x:c r="AL80" s="12" t="str"/>
      <x:c r="AM80" s="12" t="str">
        <x:v>Não informado</x:v>
      </x:c>
      <x:c r="AN80" s="12" t="str"/>
      <x:c r="AO80" s="12" t="str">
        <x:v>2026-07-01</x:v>
      </x:c>
      <x:c r="AP80" s="12" t="str">
        <x:v>2026-07-19</x:v>
      </x:c>
      <x:c r="AQ80" s="12" t="str">
        <x:v>Alta</x:v>
      </x:c>
      <x:c r="AR80" s="12" t="str">
        <x:v>Inventário mestre completo atualizado em 2026-07-01</x:v>
      </x:c>
      <x:c r="AS80" s="12" t="str">
        <x:v>Precificação individual pendente</x:v>
      </x:c>
      <x:c r="AT80" s="12" t="str">
        <x:v>Avaliação visual; tratamentos não avaliados; confirmar naturalidade/tratamento em laboratório.</x:v>
      </x:c>
    </x:row>
    <x:row r="81">
      <x:c r="A81" s="12" t="str">
        <x:v>DG-EM-080</x:v>
      </x:c>
      <x:c r="B81" s="12" t="str"/>
      <x:c r="C81" s="12" t="str">
        <x:v>Emerald Collection</x:v>
      </x:c>
      <x:c r="D81" s="12" t="str">
        <x:v>Esmeraldas</x:v>
      </x:c>
      <x:c r="E81" s="12" t="str">
        <x:v>Berilo</x:v>
      </x:c>
      <x:c r="F81" s="12" t="str">
        <x:v>Esmeralda</x:v>
      </x:c>
      <x:c r="G81" s="12" t="str">
        <x:v>Gema individual</x:v>
      </x:c>
      <x:c r="H81" s="18" t="n">
        <x:v>1</x:v>
      </x:c>
      <x:c r="I81" s="12" t="str">
        <x:v>Redondo brilhante</x:v>
      </x:c>
      <x:c r="J81" s="12" t="str">
        <x:v>6 x 6 x 3</x:v>
      </x:c>
      <x:c r="K81" s="14" t="n">
        <x:v>0.66</x:v>
      </x:c>
      <x:c r="L81" s="12" t="str">
        <x:v>Sim</x:v>
      </x:c>
      <x:c r="M81" s="12" t="str">
        <x:v>Balança / informado</x:v>
      </x:c>
      <x:c r="N81" s="12" t="str">
        <x:v>Verde médio</x:v>
      </x:c>
      <x:c r="O81" s="12" t="str">
        <x:v>Semi-transparente a translúcida</x:v>
      </x:c>
      <x:c r="P81" s="12" t="str"/>
      <x:c r="Q81" s="12" t="str">
        <x:v>Não avaliado / não informado</x:v>
      </x:c>
      <x:c r="R81" s="12" t="str">
        <x:v>Não</x:v>
      </x:c>
      <x:c r="S81" s="12" t="str"/>
      <x:c r="T81" s="12" t="str"/>
      <x:c r="U81" s="20"/>
      <x:c r="V81" s="20"/>
      <x:c r="W81" s="20"/>
      <x:c r="X81" s="20"/>
      <x:c r="Y81" s="20"/>
      <x:c r="Z81" s="20"/>
      <x:c r="AA81" s="20"/>
      <x:c r="AB81" s="12" t="str">
        <x:v>Pendente de precificação individual</x:v>
      </x:c>
      <x:c r="AC81" s="16" t="n">
        <x:v>7.9</x:v>
      </x:c>
      <x:c r="AD81" s="12" t="str">
        <x:v>B</x:v>
      </x:c>
      <x:c r="AE81" s="12" t="str">
        <x:v>A definir</x:v>
      </x:c>
      <x:c r="AF81" s="12" t="str">
        <x:v>Brinco / pingente minimalista</x:v>
      </x:c>
      <x:c r="AG81" s="12" t="str">
        <x:v>Brinco / pingente minimalista</x:v>
      </x:c>
      <x:c r="AH81" s="12" t="str">
        <x:v>Coleção</x:v>
      </x:c>
      <x:c r="AI81" s="12" t="str"/>
      <x:c r="AJ81" s="12" t="str"/>
      <x:c r="AK81" s="12" t="str"/>
      <x:c r="AL81" s="12" t="str"/>
      <x:c r="AM81" s="12" t="str">
        <x:v>Não informado</x:v>
      </x:c>
      <x:c r="AN81" s="12" t="str"/>
      <x:c r="AO81" s="12" t="str">
        <x:v>2026-07-01</x:v>
      </x:c>
      <x:c r="AP81" s="12" t="str">
        <x:v>2026-07-19</x:v>
      </x:c>
      <x:c r="AQ81" s="12" t="str">
        <x:v>Alta</x:v>
      </x:c>
      <x:c r="AR81" s="12" t="str">
        <x:v>Inventário mestre completo atualizado em 2026-07-01</x:v>
      </x:c>
      <x:c r="AS81" s="12" t="str">
        <x:v>Precificação individual pendente</x:v>
      </x:c>
      <x:c r="AT81" s="12" t="str">
        <x:v>Avaliação visual; tratamentos não avaliados; confirmar naturalidade/tratamento em laboratório.</x:v>
      </x:c>
    </x:row>
    <x:row r="82">
      <x:c r="A82" s="12" t="str">
        <x:v>DG-EM-081</x:v>
      </x:c>
      <x:c r="B82" s="12" t="str"/>
      <x:c r="C82" s="12" t="str">
        <x:v>Emerald Collection</x:v>
      </x:c>
      <x:c r="D82" s="12" t="str">
        <x:v>Esmeraldas</x:v>
      </x:c>
      <x:c r="E82" s="12" t="str">
        <x:v>Berilo</x:v>
      </x:c>
      <x:c r="F82" s="12" t="str">
        <x:v>Esmeralda</x:v>
      </x:c>
      <x:c r="G82" s="12" t="str">
        <x:v>Gema individual</x:v>
      </x:c>
      <x:c r="H82" s="18" t="n">
        <x:v>1</x:v>
      </x:c>
      <x:c r="I82" s="12" t="str">
        <x:v>Redondo brilhante</x:v>
      </x:c>
      <x:c r="J82" s="12" t="str">
        <x:v>5 x 5 x 4</x:v>
      </x:c>
      <x:c r="K82" s="14" t="n">
        <x:v>0.545</x:v>
      </x:c>
      <x:c r="L82" s="12" t="str">
        <x:v>Sim</x:v>
      </x:c>
      <x:c r="M82" s="12" t="str">
        <x:v>Balança / informado</x:v>
      </x:c>
      <x:c r="N82" s="12" t="str">
        <x:v>Verde médio a intenso</x:v>
      </x:c>
      <x:c r="O82" s="12" t="str">
        <x:v>Semi-transparente a translúcida</x:v>
      </x:c>
      <x:c r="P82" s="12" t="str"/>
      <x:c r="Q82" s="12" t="str">
        <x:v>Não avaliado / não informado</x:v>
      </x:c>
      <x:c r="R82" s="12" t="str">
        <x:v>Não</x:v>
      </x:c>
      <x:c r="S82" s="12" t="str"/>
      <x:c r="T82" s="12" t="str"/>
      <x:c r="U82" s="20"/>
      <x:c r="V82" s="20"/>
      <x:c r="W82" s="20"/>
      <x:c r="X82" s="20"/>
      <x:c r="Y82" s="20"/>
      <x:c r="Z82" s="20"/>
      <x:c r="AA82" s="20"/>
      <x:c r="AB82" s="12" t="str">
        <x:v>Pendente de precificação individual</x:v>
      </x:c>
      <x:c r="AC82" s="16" t="n">
        <x:v>8</x:v>
      </x:c>
      <x:c r="AD82" s="12" t="str">
        <x:v>B</x:v>
      </x:c>
      <x:c r="AE82" s="12" t="str">
        <x:v>A definir</x:v>
      </x:c>
      <x:c r="AF82" s="12" t="str">
        <x:v>Anel delicado / pingente pequeno / brinco</x:v>
      </x:c>
      <x:c r="AG82" s="12" t="str">
        <x:v>Anel delicado / pingente pequeno / brinco</x:v>
      </x:c>
      <x:c r="AH82" s="12" t="str">
        <x:v>Coleção</x:v>
      </x:c>
      <x:c r="AI82" s="12" t="str"/>
      <x:c r="AJ82" s="12" t="str"/>
      <x:c r="AK82" s="12" t="str"/>
      <x:c r="AL82" s="12" t="str"/>
      <x:c r="AM82" s="12" t="str">
        <x:v>Não informado</x:v>
      </x:c>
      <x:c r="AN82" s="12" t="str"/>
      <x:c r="AO82" s="12" t="str">
        <x:v>2026-07-01</x:v>
      </x:c>
      <x:c r="AP82" s="12" t="str">
        <x:v>2026-07-19</x:v>
      </x:c>
      <x:c r="AQ82" s="12" t="str">
        <x:v>Alta</x:v>
      </x:c>
      <x:c r="AR82" s="12" t="str">
        <x:v>Inventário mestre completo atualizado em 2026-07-01</x:v>
      </x:c>
      <x:c r="AS82" s="12" t="str">
        <x:v>Precificação individual pendente</x:v>
      </x:c>
      <x:c r="AT82" s="12" t="str">
        <x:v>Avaliação visual; tratamentos não avaliados; confirmar naturalidade/tratamento em laboratório.</x:v>
      </x:c>
    </x:row>
    <x:row r="83">
      <x:c r="A83" s="12" t="str">
        <x:v>DG-EM-082</x:v>
      </x:c>
      <x:c r="B83" s="12" t="str"/>
      <x:c r="C83" s="12" t="str">
        <x:v>Emerald Collection</x:v>
      </x:c>
      <x:c r="D83" s="12" t="str">
        <x:v>Esmeraldas</x:v>
      </x:c>
      <x:c r="E83" s="12" t="str">
        <x:v>Berilo</x:v>
      </x:c>
      <x:c r="F83" s="12" t="str">
        <x:v>Esmeralda</x:v>
      </x:c>
      <x:c r="G83" s="12" t="str">
        <x:v>Lote</x:v>
      </x:c>
      <x:c r="H83" s="18"/>
      <x:c r="I83" s="12" t="str">
        <x:v>Cabochões e lapidações mistas</x:v>
      </x:c>
      <x:c r="J83" s="12" t="str">
        <x:v>Diversas</x:v>
      </x:c>
      <x:c r="K83" s="14" t="n">
        <x:v>20.96</x:v>
      </x:c>
      <x:c r="L83" s="12" t="str">
        <x:v>Sim</x:v>
      </x:c>
      <x:c r="M83" s="12" t="str">
        <x:v>Balança / informado</x:v>
      </x:c>
      <x:c r="N83" s="12" t="str">
        <x:v>Verdes variados</x:v>
      </x:c>
      <x:c r="O83" s="12" t="str">
        <x:v>Semi-transparente a translúcida</x:v>
      </x:c>
      <x:c r="P83" s="12" t="str"/>
      <x:c r="Q83" s="12" t="str">
        <x:v>Não avaliado / não informado</x:v>
      </x:c>
      <x:c r="R83" s="12" t="str">
        <x:v>Não</x:v>
      </x:c>
      <x:c r="S83" s="12" t="str"/>
      <x:c r="T83" s="12" t="str"/>
      <x:c r="U83" s="20"/>
      <x:c r="V83" s="20"/>
      <x:c r="W83" s="20"/>
      <x:c r="X83" s="20"/>
      <x:c r="Y83" s="20"/>
      <x:c r="Z83" s="20"/>
      <x:c r="AA83" s="20"/>
      <x:c r="AB83" s="12" t="str">
        <x:v>Pendente de precificação individual</x:v>
      </x:c>
      <x:c r="AC83" s="16" t="n">
        <x:v>7</x:v>
      </x:c>
      <x:c r="AD83" s="12" t="str">
        <x:v>Lote Comercial</x:v>
      </x:c>
      <x:c r="AE83" s="12" t="str">
        <x:v>A definir</x:v>
      </x:c>
      <x:c r="AF83" s="12" t="str">
        <x:v>Produção de joias em prata / linha acessível</x:v>
      </x:c>
      <x:c r="AG83" s="12" t="str">
        <x:v>Produção de joias em prata / linha acessível</x:v>
      </x:c>
      <x:c r="AH83" s="12" t="str">
        <x:v>Estoque para produção</x:v>
      </x:c>
      <x:c r="AI83" s="12" t="str"/>
      <x:c r="AJ83" s="12" t="str"/>
      <x:c r="AK83" s="12" t="str"/>
      <x:c r="AL83" s="12" t="str"/>
      <x:c r="AM83" s="12" t="str">
        <x:v>Não informado</x:v>
      </x:c>
      <x:c r="AN83" s="12" t="str"/>
      <x:c r="AO83" s="12" t="str">
        <x:v>2026-07-01</x:v>
      </x:c>
      <x:c r="AP83" s="12" t="str">
        <x:v>2026-07-19</x:v>
      </x:c>
      <x:c r="AQ83" s="12" t="str">
        <x:v>Alta</x:v>
      </x:c>
      <x:c r="AR83" s="12" t="str">
        <x:v>Inventário mestre completo atualizado em 2026-07-01</x:v>
      </x:c>
      <x:c r="AS83" s="12" t="str">
        <x:v>Precificação individual pendente</x:v>
      </x:c>
      <x:c r="AT83" s="12" t="str">
        <x:v>Avaliação visual; tratamentos não avaliados; confirmar naturalidade/tratamento em laboratório. Lote único de 20,960 ct para joias em prata/linha acessível; futuras peças devem ser registradas como DG-J-xxx.</x:v>
      </x:c>
    </x:row>
    <x:row r="84">
      <x:c r="A84" s="12" t="str">
        <x:v>DG-PB-0001</x:v>
      </x:c>
      <x:c r="B84" s="12" t="str"/>
      <x:c r="C84" s="12" t="str">
        <x:v>Paraíba Collection</x:v>
      </x:c>
      <x:c r="D84" s="12" t="str">
        <x:v>Turmalinas</x:v>
      </x:c>
      <x:c r="E84" s="12" t="str">
        <x:v>Elbaíta</x:v>
      </x:c>
      <x:c r="F84" s="12" t="str">
        <x:v>Turmalina Paraíba</x:v>
      </x:c>
      <x:c r="G84" s="12" t="str">
        <x:v>Gema individual</x:v>
      </x:c>
      <x:c r="H84" s="18" t="n">
        <x:v>1</x:v>
      </x:c>
      <x:c r="I84" s="12" t="str">
        <x:v>Oval / Brilliant Cut</x:v>
      </x:c>
      <x:c r="J84" s="12" t="str">
        <x:v>7.70 x 4.98 x 3.65</x:v>
      </x:c>
      <x:c r="K84" s="14" t="n">
        <x:v>1.02</x:v>
      </x:c>
      <x:c r="L84" s="12" t="str">
        <x:v>Sim</x:v>
      </x:c>
      <x:c r="M84" s="12" t="str">
        <x:v>Certificado</x:v>
      </x:c>
      <x:c r="N84" s="12" t="str">
        <x:v>Azul intenso</x:v>
      </x:c>
      <x:c r="O84" s="12" t="str">
        <x:v>Opaca a translúcida</x:v>
      </x:c>
      <x:c r="P84" s="12" t="str">
        <x:v>Brasil</x:v>
      </x:c>
      <x:c r="Q84" s="12" t="str">
        <x:v>Não avaliado / não informado</x:v>
      </x:c>
      <x:c r="R84" s="12" t="str">
        <x:v>Sim</x:v>
      </x:c>
      <x:c r="S84" s="12" t="str">
        <x:v>Áurea Gem Lab</x:v>
      </x:c>
      <x:c r="T84" s="12" t="str"/>
      <x:c r="U84" s="20" t="n">
        <x:v>2690</x:v>
      </x:c>
      <x:c r="V84" s="20" t="n">
        <x:v>35000</x:v>
      </x:c>
      <x:c r="W84" s="20" t="n">
        <x:v>70000</x:v>
      </x:c>
      <x:c r="X84" s="20" t="n">
        <x:v>35000</x:v>
      </x:c>
      <x:c r="Y84" s="20" t="n">
        <x:v>70000</x:v>
      </x:c>
      <x:c r="Z84" s="20" t="n">
        <x:v>50000</x:v>
      </x:c>
      <x:c r="AA84" s="20" t="n">
        <x:v>90000</x:v>
      </x:c>
      <x:c r="AB84" s="12" t="str">
        <x:v>Registrado no histórico</x:v>
      </x:c>
      <x:c r="AC84" s="16" t="n">
        <x:v>9.5</x:v>
      </x:c>
      <x:c r="AD84" s="12" t="str">
        <x:v>A+</x:v>
      </x:c>
      <x:c r="AE84" s="12" t="str">
        <x:v>Alta</x:v>
      </x:c>
      <x:c r="AF84" s="12" t="str">
        <x:v>Anel halo premium / anel principal</x:v>
      </x:c>
      <x:c r="AG84" s="12" t="str">
        <x:v>Anel halo premium / anel principal</x:v>
      </x:c>
      <x:c r="AH84" s="12" t="str">
        <x:v>Coleção</x:v>
      </x:c>
      <x:c r="AI84" s="12" t="str"/>
      <x:c r="AJ84" s="12" t="str"/>
      <x:c r="AK84" s="12" t="str"/>
      <x:c r="AL84" s="12" t="str"/>
      <x:c r="AM84" s="12" t="str">
        <x:v>Não informado</x:v>
      </x:c>
      <x:c r="AN84" s="12" t="str"/>
      <x:c r="AO84" s="12" t="str">
        <x:v>2026-07-01</x:v>
      </x:c>
      <x:c r="AP84" s="12" t="str">
        <x:v>2026-07-19</x:v>
      </x:c>
      <x:c r="AQ84" s="12" t="str">
        <x:v>Alta</x:v>
      </x:c>
      <x:c r="AR84" s="12" t="str">
        <x:v>Inventário mestre completo atualizado em 2026-07-01</x:v>
      </x:c>
      <x:c r="AS84" s="12" t="str"/>
      <x:c r="AT84" s="12" t="str">
        <x:v>Cu+Mn; clarity enhancement; muitas inclusões conforme laudo.</x:v>
      </x:c>
    </x:row>
    <x:row r="85">
      <x:c r="A85" s="12" t="str">
        <x:v>DG-PB-0002</x:v>
      </x:c>
      <x:c r="B85" s="12" t="str"/>
      <x:c r="C85" s="12" t="str">
        <x:v>Paraíba Collection</x:v>
      </x:c>
      <x:c r="D85" s="12" t="str">
        <x:v>Turmalinas</x:v>
      </x:c>
      <x:c r="E85" s="12" t="str">
        <x:v>Elbaíta</x:v>
      </x:c>
      <x:c r="F85" s="12" t="str">
        <x:v>Turmalina Paraíba</x:v>
      </x:c>
      <x:c r="G85" s="12" t="str">
        <x:v>Gema individual</x:v>
      </x:c>
      <x:c r="H85" s="18" t="n">
        <x:v>1</x:v>
      </x:c>
      <x:c r="I85" s="12" t="str">
        <x:v>Gota / Pear Brilliant</x:v>
      </x:c>
      <x:c r="J85" s="12" t="str">
        <x:v>5.34 x 3.20 x 2.29</x:v>
      </x:c>
      <x:c r="K85" s="14" t="n">
        <x:v>0.26</x:v>
      </x:c>
      <x:c r="L85" s="12" t="str">
        <x:v>Sim</x:v>
      </x:c>
      <x:c r="M85" s="12" t="str">
        <x:v>Certificado</x:v>
      </x:c>
      <x:c r="N85" s="12" t="str">
        <x:v>Intense Bluish Green</x:v>
      </x:c>
      <x:c r="O85" s="12" t="str">
        <x:v>Translúcida</x:v>
      </x:c>
      <x:c r="P85" s="12" t="str">
        <x:v>Brasil</x:v>
      </x:c>
      <x:c r="Q85" s="12" t="str">
        <x:v>Não avaliado / não informado</x:v>
      </x:c>
      <x:c r="R85" s="12" t="str">
        <x:v>Sim</x:v>
      </x:c>
      <x:c r="S85" s="12" t="str">
        <x:v>Áurea Gem Lab</x:v>
      </x:c>
      <x:c r="T85" s="12" t="str"/>
      <x:c r="U85" s="20" t="n">
        <x:v>4035</x:v>
      </x:c>
      <x:c r="V85" s="20" t="n">
        <x:v>8000</x:v>
      </x:c>
      <x:c r="W85" s="20" t="n">
        <x:v>15000</x:v>
      </x:c>
      <x:c r="X85" s="20" t="n">
        <x:v>18000</x:v>
      </x:c>
      <x:c r="Y85" s="20" t="n">
        <x:v>35000</x:v>
      </x:c>
      <x:c r="Z85" s="20" t="n">
        <x:v>25000</x:v>
      </x:c>
      <x:c r="AA85" s="20" t="n">
        <x:v>50000</x:v>
      </x:c>
      <x:c r="AB85" s="12" t="str">
        <x:v>Registrado no histórico</x:v>
      </x:c>
      <x:c r="AC85" s="16" t="n">
        <x:v>9.1</x:v>
      </x:c>
      <x:c r="AD85" s="12" t="str">
        <x:v>A</x:v>
      </x:c>
      <x:c r="AE85" s="12" t="str">
        <x:v>Alta</x:v>
      </x:c>
      <x:c r="AF85" s="12" t="str">
        <x:v>Pingente halo premium / gota flutuante</x:v>
      </x:c>
      <x:c r="AG85" s="12" t="str">
        <x:v>Pingente halo premium / gota flutuante</x:v>
      </x:c>
      <x:c r="AH85" s="12" t="str">
        <x:v>Coleção</x:v>
      </x:c>
      <x:c r="AI85" s="12" t="str"/>
      <x:c r="AJ85" s="12" t="str"/>
      <x:c r="AK85" s="12" t="str"/>
      <x:c r="AL85" s="12" t="str"/>
      <x:c r="AM85" s="12" t="str">
        <x:v>Não informado</x:v>
      </x:c>
      <x:c r="AN85" s="12" t="str"/>
      <x:c r="AO85" s="12" t="str">
        <x:v>2026-07-01</x:v>
      </x:c>
      <x:c r="AP85" s="12" t="str">
        <x:v>2026-07-19</x:v>
      </x:c>
      <x:c r="AQ85" s="12" t="str">
        <x:v>Alta</x:v>
      </x:c>
      <x:c r="AR85" s="12" t="str">
        <x:v>Inventário mestre completo atualizado em 2026-07-01</x:v>
      </x:c>
      <x:c r="AS85" s="12" t="str"/>
      <x:c r="AT85" s="12" t="str">
        <x:v>Cu+Mn; clarity enhancement; poucas inclusões.</x:v>
      </x:c>
    </x:row>
    <x:row r="86">
      <x:c r="A86" s="12" t="str">
        <x:v>DG-PB-0003</x:v>
      </x:c>
      <x:c r="B86" s="12" t="str"/>
      <x:c r="C86" s="12" t="str">
        <x:v>Paraíba Collection</x:v>
      </x:c>
      <x:c r="D86" s="12" t="str">
        <x:v>Turmalinas</x:v>
      </x:c>
      <x:c r="E86" s="12" t="str">
        <x:v>Elbaíta</x:v>
      </x:c>
      <x:c r="F86" s="12" t="str">
        <x:v>Turmalina Paraíba</x:v>
      </x:c>
      <x:c r="G86" s="12" t="str">
        <x:v>Lote</x:v>
      </x:c>
      <x:c r="H86" s="18" t="n">
        <x:v>6</x:v>
      </x:c>
      <x:c r="I86" s="12" t="str">
        <x:v>Navete / Marquise</x:v>
      </x:c>
      <x:c r="J86" s="12" t="str">
        <x:v>1.5x2.5 a 1.7x3.8</x:v>
      </x:c>
      <x:c r="K86" s="14" t="n">
        <x:v>0.155</x:v>
      </x:c>
      <x:c r="L86" s="12" t="str">
        <x:v>Sim</x:v>
      </x:c>
      <x:c r="M86" s="12" t="str">
        <x:v>Fornecedor</x:v>
      </x:c>
      <x:c r="N86" s="12" t="str">
        <x:v>Azul neon</x:v>
      </x:c>
      <x:c r="O86" s="12" t="str">
        <x:v>Transparente a translúcida</x:v>
      </x:c>
      <x:c r="P86" s="12" t="str">
        <x:v>Brasil</x:v>
      </x:c>
      <x:c r="Q86" s="12" t="str">
        <x:v>Não avaliado / não informado</x:v>
      </x:c>
      <x:c r="R86" s="12" t="str">
        <x:v>Não</x:v>
      </x:c>
      <x:c r="S86" s="12" t="str"/>
      <x:c r="T86" s="12" t="str"/>
      <x:c r="U86" s="20" t="n">
        <x:v>1500</x:v>
      </x:c>
      <x:c r="V86" s="20" t="n">
        <x:v>4000</x:v>
      </x:c>
      <x:c r="W86" s="20" t="n">
        <x:v>12000</x:v>
      </x:c>
      <x:c r="X86" s="20" t="n">
        <x:v>4000</x:v>
      </x:c>
      <x:c r="Y86" s="20" t="n">
        <x:v>12000</x:v>
      </x:c>
      <x:c r="Z86" s="20" t="n">
        <x:v>8000</x:v>
      </x:c>
      <x:c r="AA86" s="20" t="n">
        <x:v>15000</x:v>
      </x:c>
      <x:c r="AB86" s="12" t="str">
        <x:v>Registrado no histórico</x:v>
      </x:c>
      <x:c r="AC86" s="16" t="n">
        <x:v>8.4</x:v>
      </x:c>
      <x:c r="AD86" s="12" t="str">
        <x:v>A-</x:v>
      </x:c>
      <x:c r="AE86" s="12" t="str">
        <x:v>Baixa/Média</x:v>
      </x:c>
      <x:c r="AF86" s="12" t="str">
        <x:v>Detalhes, halo, flor, folha, cruz, constelação</x:v>
      </x:c>
      <x:c r="AG86" s="12" t="str">
        <x:v>Detalhes, halo, flor, folha, cruz, constelação</x:v>
      </x:c>
      <x:c r="AH86" s="12" t="str">
        <x:v>Coleção</x:v>
      </x:c>
      <x:c r="AI86" s="12" t="str"/>
      <x:c r="AJ86" s="12" t="str"/>
      <x:c r="AK86" s="12" t="str"/>
      <x:c r="AL86" s="12" t="str"/>
      <x:c r="AM86" s="12" t="str">
        <x:v>Não informado</x:v>
      </x:c>
      <x:c r="AN86" s="12" t="str"/>
      <x:c r="AO86" s="12" t="str">
        <x:v>2026-07-01</x:v>
      </x:c>
      <x:c r="AP86" s="12" t="str">
        <x:v>2026-07-19</x:v>
      </x:c>
      <x:c r="AQ86" s="12" t="str">
        <x:v>Alta</x:v>
      </x:c>
      <x:c r="AR86" s="12" t="str">
        <x:v>Inventário mestre completo atualizado em 2026-07-01</x:v>
      </x:c>
      <x:c r="AS86" s="12" t="str"/>
      <x:c r="AT86" s="12" t="str">
        <x:v>Originalmente 7 pedras; atualmente 6.</x:v>
      </x:c>
    </x:row>
    <x:row r="87">
      <x:c r="A87" s="12" t="str">
        <x:v>DG-PB-0004</x:v>
      </x:c>
      <x:c r="B87" s="12" t="str"/>
      <x:c r="C87" s="12" t="str">
        <x:v>Paraíba Collection</x:v>
      </x:c>
      <x:c r="D87" s="12" t="str">
        <x:v>Turmalinas</x:v>
      </x:c>
      <x:c r="E87" s="12" t="str">
        <x:v>Elbaíta</x:v>
      </x:c>
      <x:c r="F87" s="12" t="str">
        <x:v>Turmalina Paraíba</x:v>
      </x:c>
      <x:c r="G87" s="12" t="str">
        <x:v>Gema individual</x:v>
      </x:c>
      <x:c r="H87" s="18" t="n">
        <x:v>1</x:v>
      </x:c>
      <x:c r="I87" s="12" t="str">
        <x:v>Oval</x:v>
      </x:c>
      <x:c r="J87" s="12" t="str">
        <x:v>4.65 x 3.51</x:v>
      </x:c>
      <x:c r="K87" s="14" t="n">
        <x:v>0.24</x:v>
      </x:c>
      <x:c r="L87" s="12" t="str">
        <x:v>Sim</x:v>
      </x:c>
      <x:c r="M87" s="12" t="str">
        <x:v>Fornecedor</x:v>
      </x:c>
      <x:c r="N87" s="12" t="str">
        <x:v>Azul Piscina Intenso</x:v>
      </x:c>
      <x:c r="O87" s="12" t="str">
        <x:v>Transparente a translúcida</x:v>
      </x:c>
      <x:c r="P87" s="12" t="str">
        <x:v>Brasil</x:v>
      </x:c>
      <x:c r="Q87" s="12" t="str">
        <x:v>Não avaliado / não informado</x:v>
      </x:c>
      <x:c r="R87" s="12" t="str">
        <x:v>Não</x:v>
      </x:c>
      <x:c r="S87" s="12" t="str"/>
      <x:c r="T87" s="12" t="str"/>
      <x:c r="U87" s="20" t="n">
        <x:v>1090</x:v>
      </x:c>
      <x:c r="V87" s="20"/>
      <x:c r="W87" s="20"/>
      <x:c r="X87" s="20"/>
      <x:c r="Y87" s="20"/>
      <x:c r="Z87" s="20"/>
      <x:c r="AA87" s="20"/>
      <x:c r="AB87" s="12" t="str">
        <x:v>Pendente de precificação individual</x:v>
      </x:c>
      <x:c r="AC87" s="16" t="n">
        <x:v>8</x:v>
      </x:c>
      <x:c r="AD87" s="12" t="str">
        <x:v>A-</x:v>
      </x:c>
      <x:c r="AE87" s="12" t="str">
        <x:v>Média</x:v>
      </x:c>
      <x:c r="AF87" s="12" t="str">
        <x:v>Anel delicado / brinco / pingente</x:v>
      </x:c>
      <x:c r="AG87" s="12" t="str">
        <x:v>Anel delicado / brinco / pingente</x:v>
      </x:c>
      <x:c r="AH87" s="12" t="str">
        <x:v>Coleção</x:v>
      </x:c>
      <x:c r="AI87" s="12" t="str"/>
      <x:c r="AJ87" s="12" t="str"/>
      <x:c r="AK87" s="12" t="str"/>
      <x:c r="AL87" s="12" t="str"/>
      <x:c r="AM87" s="12" t="str">
        <x:v>Não informado</x:v>
      </x:c>
      <x:c r="AN87" s="12" t="str"/>
      <x:c r="AO87" s="12" t="str">
        <x:v>2026-07-01</x:v>
      </x:c>
      <x:c r="AP87" s="12" t="str">
        <x:v>2026-07-19</x:v>
      </x:c>
      <x:c r="AQ87" s="12" t="str">
        <x:v>Alta</x:v>
      </x:c>
      <x:c r="AR87" s="12" t="str">
        <x:v>Inventário mestre completo atualizado em 2026-07-01</x:v>
      </x:c>
      <x:c r="AS87" s="12" t="str">
        <x:v>Avaliar certificação; Precificação individual pendente</x:v>
      </x:c>
      <x:c r="AT87" s="12" t="str">
        <x:v>Peso/medidas informados pelo fornecedor.</x:v>
      </x:c>
    </x:row>
    <x:row r="88">
      <x:c r="A88" s="12" t="str">
        <x:v>DG-PB-0005</x:v>
      </x:c>
      <x:c r="B88" s="12" t="str"/>
      <x:c r="C88" s="12" t="str">
        <x:v>Paraíba Collection</x:v>
      </x:c>
      <x:c r="D88" s="12" t="str">
        <x:v>Turmalinas</x:v>
      </x:c>
      <x:c r="E88" s="12" t="str">
        <x:v>Elbaíta</x:v>
      </x:c>
      <x:c r="F88" s="12" t="str">
        <x:v>Turmalina Paraíba</x:v>
      </x:c>
      <x:c r="G88" s="12" t="str">
        <x:v>Gema individual</x:v>
      </x:c>
      <x:c r="H88" s="18" t="n">
        <x:v>1</x:v>
      </x:c>
      <x:c r="I88" s="12" t="str">
        <x:v>Retangular</x:v>
      </x:c>
      <x:c r="J88" s="12" t="str">
        <x:v>2.70 x 2.35</x:v>
      </x:c>
      <x:c r="K88" s="14" t="n">
        <x:v>0.09</x:v>
      </x:c>
      <x:c r="L88" s="12" t="str">
        <x:v>Sim</x:v>
      </x:c>
      <x:c r="M88" s="12" t="str">
        <x:v>Fornecedor</x:v>
      </x:c>
      <x:c r="N88" s="12" t="str">
        <x:v>Azul Neon</x:v>
      </x:c>
      <x:c r="O88" s="12" t="str">
        <x:v>Transparente a translúcida</x:v>
      </x:c>
      <x:c r="P88" s="12" t="str">
        <x:v>Brasil</x:v>
      </x:c>
      <x:c r="Q88" s="12" t="str">
        <x:v>Não avaliado / não informado</x:v>
      </x:c>
      <x:c r="R88" s="12" t="str">
        <x:v>Não</x:v>
      </x:c>
      <x:c r="S88" s="12" t="str"/>
      <x:c r="T88" s="12" t="str"/>
      <x:c r="U88" s="20" t="n">
        <x:v>550</x:v>
      </x:c>
      <x:c r="V88" s="20"/>
      <x:c r="W88" s="20"/>
      <x:c r="X88" s="20"/>
      <x:c r="Y88" s="20"/>
      <x:c r="Z88" s="20"/>
      <x:c r="AA88" s="20"/>
      <x:c r="AB88" s="12" t="str">
        <x:v>Pendente de precificação individual</x:v>
      </x:c>
      <x:c r="AC88" s="16" t="n">
        <x:v>8</x:v>
      </x:c>
      <x:c r="AD88" s="12" t="str">
        <x:v>A-</x:v>
      </x:c>
      <x:c r="AE88" s="12" t="str">
        <x:v>Média</x:v>
      </x:c>
      <x:c r="AF88" s="12" t="str">
        <x:v>Halo / composição geométrica</x:v>
      </x:c>
      <x:c r="AG88" s="12" t="str">
        <x:v>Halo / composição geométrica</x:v>
      </x:c>
      <x:c r="AH88" s="12" t="str">
        <x:v>Coleção</x:v>
      </x:c>
      <x:c r="AI88" s="12" t="str"/>
      <x:c r="AJ88" s="12" t="str"/>
      <x:c r="AK88" s="12" t="str"/>
      <x:c r="AL88" s="12" t="str"/>
      <x:c r="AM88" s="12" t="str">
        <x:v>Não informado</x:v>
      </x:c>
      <x:c r="AN88" s="12" t="str"/>
      <x:c r="AO88" s="12" t="str">
        <x:v>2026-07-01</x:v>
      </x:c>
      <x:c r="AP88" s="12" t="str">
        <x:v>2026-07-19</x:v>
      </x:c>
      <x:c r="AQ88" s="12" t="str">
        <x:v>Alta</x:v>
      </x:c>
      <x:c r="AR88" s="12" t="str">
        <x:v>Inventário mestre completo atualizado em 2026-07-01</x:v>
      </x:c>
      <x:c r="AS88" s="12" t="str">
        <x:v>Avaliar certificação; Precificação individual pendente</x:v>
      </x:c>
      <x:c r="AT88" s="12" t="str">
        <x:v>Peso/medidas informados pelo fornecedor.</x:v>
      </x:c>
    </x:row>
    <x:row r="89">
      <x:c r="A89" s="12" t="str">
        <x:v>DG-PB-0006</x:v>
      </x:c>
      <x:c r="B89" s="12" t="str"/>
      <x:c r="C89" s="12" t="str">
        <x:v>Paraíba Collection</x:v>
      </x:c>
      <x:c r="D89" s="12" t="str">
        <x:v>Turmalinas</x:v>
      </x:c>
      <x:c r="E89" s="12" t="str">
        <x:v>Elbaíta</x:v>
      </x:c>
      <x:c r="F89" s="12" t="str">
        <x:v>Turmalina Paraíba</x:v>
      </x:c>
      <x:c r="G89" s="12" t="str">
        <x:v>Gema individual</x:v>
      </x:c>
      <x:c r="H89" s="18" t="n">
        <x:v>1</x:v>
      </x:c>
      <x:c r="I89" s="12" t="str">
        <x:v>Gota</x:v>
      </x:c>
      <x:c r="J89" s="12" t="str">
        <x:v>4.25 x 3.08</x:v>
      </x:c>
      <x:c r="K89" s="14" t="n">
        <x:v>0.19</x:v>
      </x:c>
      <x:c r="L89" s="12" t="str">
        <x:v>Sim</x:v>
      </x:c>
      <x:c r="M89" s="12" t="str">
        <x:v>Fornecedor</x:v>
      </x:c>
      <x:c r="N89" s="12" t="str">
        <x:v>Azul Intenso Neon</x:v>
      </x:c>
      <x:c r="O89" s="12" t="str">
        <x:v>Transparente a translúcida</x:v>
      </x:c>
      <x:c r="P89" s="12" t="str">
        <x:v>Brasil</x:v>
      </x:c>
      <x:c r="Q89" s="12" t="str">
        <x:v>Não avaliado / não informado</x:v>
      </x:c>
      <x:c r="R89" s="12" t="str">
        <x:v>Não</x:v>
      </x:c>
      <x:c r="S89" s="12" t="str"/>
      <x:c r="T89" s="12" t="str"/>
      <x:c r="U89" s="20" t="n">
        <x:v>1235</x:v>
      </x:c>
      <x:c r="V89" s="20"/>
      <x:c r="W89" s="20"/>
      <x:c r="X89" s="20"/>
      <x:c r="Y89" s="20"/>
      <x:c r="Z89" s="20"/>
      <x:c r="AA89" s="20"/>
      <x:c r="AB89" s="12" t="str">
        <x:v>Pendente de precificação individual</x:v>
      </x:c>
      <x:c r="AC89" s="16" t="n">
        <x:v>8.2</x:v>
      </x:c>
      <x:c r="AD89" s="12" t="str">
        <x:v>A</x:v>
      </x:c>
      <x:c r="AE89" s="12" t="str">
        <x:v>Média</x:v>
      </x:c>
      <x:c r="AF89" s="12" t="str">
        <x:v>Pingente / anel delicado</x:v>
      </x:c>
      <x:c r="AG89" s="12" t="str">
        <x:v>Pingente / anel delicado</x:v>
      </x:c>
      <x:c r="AH89" s="12" t="str">
        <x:v>Coleção</x:v>
      </x:c>
      <x:c r="AI89" s="12" t="str"/>
      <x:c r="AJ89" s="12" t="str"/>
      <x:c r="AK89" s="12" t="str"/>
      <x:c r="AL89" s="12" t="str"/>
      <x:c r="AM89" s="12" t="str">
        <x:v>Não informado</x:v>
      </x:c>
      <x:c r="AN89" s="12" t="str"/>
      <x:c r="AO89" s="12" t="str">
        <x:v>2026-07-01</x:v>
      </x:c>
      <x:c r="AP89" s="12" t="str">
        <x:v>2026-07-19</x:v>
      </x:c>
      <x:c r="AQ89" s="12" t="str">
        <x:v>Alta</x:v>
      </x:c>
      <x:c r="AR89" s="12" t="str">
        <x:v>Inventário mestre completo atualizado em 2026-07-01</x:v>
      </x:c>
      <x:c r="AS89" s="12" t="str">
        <x:v>Avaliar certificação; Precificação individual pendente</x:v>
      </x:c>
      <x:c r="AT89" s="12" t="str">
        <x:v>Peso/medidas informados pelo fornecedor.</x:v>
      </x:c>
    </x:row>
    <x:row r="90">
      <x:c r="A90" s="12" t="str">
        <x:v>DG-PB-0007</x:v>
      </x:c>
      <x:c r="B90" s="12" t="str"/>
      <x:c r="C90" s="12" t="str">
        <x:v>Paraíba Collection</x:v>
      </x:c>
      <x:c r="D90" s="12" t="str">
        <x:v>Turmalinas</x:v>
      </x:c>
      <x:c r="E90" s="12" t="str">
        <x:v>Elbaíta</x:v>
      </x:c>
      <x:c r="F90" s="12" t="str">
        <x:v>Turmalina Paraíba</x:v>
      </x:c>
      <x:c r="G90" s="12" t="str">
        <x:v>Gema individual</x:v>
      </x:c>
      <x:c r="H90" s="18" t="n">
        <x:v>1</x:v>
      </x:c>
      <x:c r="I90" s="12" t="str">
        <x:v>Redonda</x:v>
      </x:c>
      <x:c r="J90" s="12" t="str">
        <x:v>2.71</x:v>
      </x:c>
      <x:c r="K90" s="14" t="n">
        <x:v>0.08</x:v>
      </x:c>
      <x:c r="L90" s="12" t="str">
        <x:v>Sim</x:v>
      </x:c>
      <x:c r="M90" s="12" t="str">
        <x:v>Fornecedor</x:v>
      </x:c>
      <x:c r="N90" s="12" t="str">
        <x:v>Azul Esverdeado Neon</x:v>
      </x:c>
      <x:c r="O90" s="12" t="str">
        <x:v>Transparente a translúcida</x:v>
      </x:c>
      <x:c r="P90" s="12" t="str">
        <x:v>Brasil</x:v>
      </x:c>
      <x:c r="Q90" s="12" t="str">
        <x:v>Não avaliado / não informado</x:v>
      </x:c>
      <x:c r="R90" s="12" t="str">
        <x:v>Não</x:v>
      </x:c>
      <x:c r="S90" s="12" t="str"/>
      <x:c r="T90" s="12" t="str"/>
      <x:c r="U90" s="20" t="n">
        <x:v>608</x:v>
      </x:c>
      <x:c r="V90" s="20"/>
      <x:c r="W90" s="20"/>
      <x:c r="X90" s="20"/>
      <x:c r="Y90" s="20"/>
      <x:c r="Z90" s="20"/>
      <x:c r="AA90" s="20"/>
      <x:c r="AB90" s="12" t="str">
        <x:v>Pendente de precificação individual</x:v>
      </x:c>
      <x:c r="AC90" s="16" t="n">
        <x:v>7.8</x:v>
      </x:c>
      <x:c r="AD90" s="12" t="str">
        <x:v>A-</x:v>
      </x:c>
      <x:c r="AE90" s="12" t="str">
        <x:v>Média</x:v>
      </x:c>
      <x:c r="AF90" s="12" t="str">
        <x:v>Brinco / detalhe</x:v>
      </x:c>
      <x:c r="AG90" s="12" t="str">
        <x:v>Brinco / detalhe</x:v>
      </x:c>
      <x:c r="AH90" s="12" t="str">
        <x:v>Coleção</x:v>
      </x:c>
      <x:c r="AI90" s="12" t="str"/>
      <x:c r="AJ90" s="12" t="str"/>
      <x:c r="AK90" s="12" t="str"/>
      <x:c r="AL90" s="12" t="str"/>
      <x:c r="AM90" s="12" t="str">
        <x:v>Não informado</x:v>
      </x:c>
      <x:c r="AN90" s="12" t="str"/>
      <x:c r="AO90" s="12" t="str">
        <x:v>2026-07-01</x:v>
      </x:c>
      <x:c r="AP90" s="12" t="str">
        <x:v>2026-07-19</x:v>
      </x:c>
      <x:c r="AQ90" s="12" t="str">
        <x:v>Alta</x:v>
      </x:c>
      <x:c r="AR90" s="12" t="str">
        <x:v>Inventário mestre completo atualizado em 2026-07-01</x:v>
      </x:c>
      <x:c r="AS90" s="12" t="str">
        <x:v>Avaliar certificação; Precificação individual pendente</x:v>
      </x:c>
      <x:c r="AT90" s="12" t="str">
        <x:v>Peso/medidas informados pelo fornecedor.</x:v>
      </x:c>
    </x:row>
    <x:row r="91">
      <x:c r="A91" s="12" t="str">
        <x:v>DG-PB-0008</x:v>
      </x:c>
      <x:c r="B91" s="12" t="str"/>
      <x:c r="C91" s="12" t="str">
        <x:v>Paraíba Collection</x:v>
      </x:c>
      <x:c r="D91" s="12" t="str">
        <x:v>Turmalinas</x:v>
      </x:c>
      <x:c r="E91" s="12" t="str">
        <x:v>Elbaíta</x:v>
      </x:c>
      <x:c r="F91" s="12" t="str">
        <x:v>Turmalina Paraíba</x:v>
      </x:c>
      <x:c r="G91" s="12" t="str">
        <x:v>Gema individual</x:v>
      </x:c>
      <x:c r="H91" s="18" t="n">
        <x:v>1</x:v>
      </x:c>
      <x:c r="I91" s="12" t="str">
        <x:v>Retangular</x:v>
      </x:c>
      <x:c r="J91" s="12" t="str">
        <x:v>3.04 x 2.77</x:v>
      </x:c>
      <x:c r="K91" s="14" t="n">
        <x:v>0.095</x:v>
      </x:c>
      <x:c r="L91" s="12" t="str">
        <x:v>Sim</x:v>
      </x:c>
      <x:c r="M91" s="12" t="str">
        <x:v>Fornecedor</x:v>
      </x:c>
      <x:c r="N91" s="12" t="str">
        <x:v>Azul Intenso</x:v>
      </x:c>
      <x:c r="O91" s="12" t="str">
        <x:v>Transparente a translúcida</x:v>
      </x:c>
      <x:c r="P91" s="12" t="str">
        <x:v>Brasil</x:v>
      </x:c>
      <x:c r="Q91" s="12" t="str">
        <x:v>Não avaliado / não informado</x:v>
      </x:c>
      <x:c r="R91" s="12" t="str">
        <x:v>Não</x:v>
      </x:c>
      <x:c r="S91" s="12" t="str"/>
      <x:c r="T91" s="12" t="str"/>
      <x:c r="U91" s="20" t="n">
        <x:v>432</x:v>
      </x:c>
      <x:c r="V91" s="20"/>
      <x:c r="W91" s="20"/>
      <x:c r="X91" s="20"/>
      <x:c r="Y91" s="20"/>
      <x:c r="Z91" s="20"/>
      <x:c r="AA91" s="20"/>
      <x:c r="AB91" s="12" t="str">
        <x:v>Pendente de precificação individual</x:v>
      </x:c>
      <x:c r="AC91" s="16" t="n">
        <x:v>8.2</x:v>
      </x:c>
      <x:c r="AD91" s="12" t="str">
        <x:v>A</x:v>
      </x:c>
      <x:c r="AE91" s="12" t="str">
        <x:v>Média</x:v>
      </x:c>
      <x:c r="AF91" s="12" t="str">
        <x:v>Anel geométrico / halo</x:v>
      </x:c>
      <x:c r="AG91" s="12" t="str">
        <x:v>Anel geométrico / halo</x:v>
      </x:c>
      <x:c r="AH91" s="12" t="str">
        <x:v>Coleção</x:v>
      </x:c>
      <x:c r="AI91" s="12" t="str"/>
      <x:c r="AJ91" s="12" t="str"/>
      <x:c r="AK91" s="12" t="str"/>
      <x:c r="AL91" s="12" t="str"/>
      <x:c r="AM91" s="12" t="str">
        <x:v>Não informado</x:v>
      </x:c>
      <x:c r="AN91" s="12" t="str"/>
      <x:c r="AO91" s="12" t="str">
        <x:v>2026-07-01</x:v>
      </x:c>
      <x:c r="AP91" s="12" t="str">
        <x:v>2026-07-19</x:v>
      </x:c>
      <x:c r="AQ91" s="12" t="str">
        <x:v>Alta</x:v>
      </x:c>
      <x:c r="AR91" s="12" t="str">
        <x:v>Inventário mestre completo atualizado em 2026-07-01</x:v>
      </x:c>
      <x:c r="AS91" s="12" t="str">
        <x:v>Avaliar certificação; Precificação individual pendente</x:v>
      </x:c>
      <x:c r="AT91" s="12" t="str">
        <x:v>Peso/medidas informados pelo fornecedor.</x:v>
      </x:c>
    </x:row>
    <x:row r="92">
      <x:c r="A92" s="12" t="str">
        <x:v>DG-PB-0009</x:v>
      </x:c>
      <x:c r="B92" s="12" t="str"/>
      <x:c r="C92" s="12" t="str">
        <x:v>Paraíba Collection</x:v>
      </x:c>
      <x:c r="D92" s="12" t="str">
        <x:v>Turmalinas</x:v>
      </x:c>
      <x:c r="E92" s="12" t="str">
        <x:v>Elbaíta</x:v>
      </x:c>
      <x:c r="F92" s="12" t="str">
        <x:v>Turmalina Paraíba</x:v>
      </x:c>
      <x:c r="G92" s="12" t="str">
        <x:v>Gema individual</x:v>
      </x:c>
      <x:c r="H92" s="18" t="n">
        <x:v>1</x:v>
      </x:c>
      <x:c r="I92" s="12" t="str">
        <x:v>Gota</x:v>
      </x:c>
      <x:c r="J92" s="12" t="str">
        <x:v>3.73 x 2.86</x:v>
      </x:c>
      <x:c r="K92" s="14" t="n">
        <x:v>0.105</x:v>
      </x:c>
      <x:c r="L92" s="12" t="str">
        <x:v>Sim</x:v>
      </x:c>
      <x:c r="M92" s="12" t="str">
        <x:v>Fornecedor</x:v>
      </x:c>
      <x:c r="N92" s="12" t="str">
        <x:v>Azul Neon</x:v>
      </x:c>
      <x:c r="O92" s="12" t="str">
        <x:v>Transparente a translúcida</x:v>
      </x:c>
      <x:c r="P92" s="12" t="str">
        <x:v>Brasil</x:v>
      </x:c>
      <x:c r="Q92" s="12" t="str">
        <x:v>Não avaliado / não informado</x:v>
      </x:c>
      <x:c r="R92" s="12" t="str">
        <x:v>Não</x:v>
      </x:c>
      <x:c r="S92" s="12" t="str"/>
      <x:c r="T92" s="12" t="str"/>
      <x:c r="U92" s="20" t="n">
        <x:v>398</x:v>
      </x:c>
      <x:c r="V92" s="20"/>
      <x:c r="W92" s="20"/>
      <x:c r="X92" s="20"/>
      <x:c r="Y92" s="20"/>
      <x:c r="Z92" s="20"/>
      <x:c r="AA92" s="20"/>
      <x:c r="AB92" s="12" t="str">
        <x:v>Pendente de precificação individual</x:v>
      </x:c>
      <x:c r="AC92" s="16" t="n">
        <x:v>7.6</x:v>
      </x:c>
      <x:c r="AD92" s="12" t="str">
        <x:v>A-</x:v>
      </x:c>
      <x:c r="AE92" s="12" t="str">
        <x:v>Média</x:v>
      </x:c>
      <x:c r="AF92" s="12" t="str">
        <x:v>Pingente delicado</x:v>
      </x:c>
      <x:c r="AG92" s="12" t="str">
        <x:v>Pingente delicado</x:v>
      </x:c>
      <x:c r="AH92" s="12" t="str">
        <x:v>Coleção</x:v>
      </x:c>
      <x:c r="AI92" s="12" t="str"/>
      <x:c r="AJ92" s="12" t="str"/>
      <x:c r="AK92" s="12" t="str"/>
      <x:c r="AL92" s="12" t="str"/>
      <x:c r="AM92" s="12" t="str">
        <x:v>Não informado</x:v>
      </x:c>
      <x:c r="AN92" s="12" t="str"/>
      <x:c r="AO92" s="12" t="str">
        <x:v>2026-07-01</x:v>
      </x:c>
      <x:c r="AP92" s="12" t="str">
        <x:v>2026-07-19</x:v>
      </x:c>
      <x:c r="AQ92" s="12" t="str">
        <x:v>Alta</x:v>
      </x:c>
      <x:c r="AR92" s="12" t="str">
        <x:v>Inventário mestre completo atualizado em 2026-07-01</x:v>
      </x:c>
      <x:c r="AS92" s="12" t="str">
        <x:v>Avaliar certificação; Precificação individual pendente</x:v>
      </x:c>
      <x:c r="AT92" s="12" t="str">
        <x:v>Peso/medidas informados pelo fornecedor.</x:v>
      </x:c>
    </x:row>
    <x:row r="93">
      <x:c r="A93" s="12" t="str">
        <x:v>DG-PB-0010</x:v>
      </x:c>
      <x:c r="B93" s="12" t="str"/>
      <x:c r="C93" s="12" t="str">
        <x:v>Paraíba Collection</x:v>
      </x:c>
      <x:c r="D93" s="12" t="str">
        <x:v>Turmalinas</x:v>
      </x:c>
      <x:c r="E93" s="12" t="str">
        <x:v>Elbaíta</x:v>
      </x:c>
      <x:c r="F93" s="12" t="str">
        <x:v>Turmalina Paraíba</x:v>
      </x:c>
      <x:c r="G93" s="12" t="str">
        <x:v>Gema individual</x:v>
      </x:c>
      <x:c r="H93" s="18" t="n">
        <x:v>1</x:v>
      </x:c>
      <x:c r="I93" s="12" t="str">
        <x:v>Redonda</x:v>
      </x:c>
      <x:c r="J93" s="12" t="str">
        <x:v>3.25</x:v>
      </x:c>
      <x:c r="K93" s="14" t="n">
        <x:v>0.11</x:v>
      </x:c>
      <x:c r="L93" s="12" t="str">
        <x:v>Sim</x:v>
      </x:c>
      <x:c r="M93" s="12" t="str">
        <x:v>Fornecedor</x:v>
      </x:c>
      <x:c r="N93" s="12" t="str">
        <x:v>Verde Azulado Neon</x:v>
      </x:c>
      <x:c r="O93" s="12" t="str">
        <x:v>Transparente a translúcida</x:v>
      </x:c>
      <x:c r="P93" s="12" t="str">
        <x:v>Brasil</x:v>
      </x:c>
      <x:c r="Q93" s="12" t="str">
        <x:v>Não avaliado / não informado</x:v>
      </x:c>
      <x:c r="R93" s="12" t="str">
        <x:v>Não</x:v>
      </x:c>
      <x:c r="S93" s="12" t="str"/>
      <x:c r="T93" s="12" t="str"/>
      <x:c r="U93" s="20" t="n">
        <x:v>350</x:v>
      </x:c>
      <x:c r="V93" s="20"/>
      <x:c r="W93" s="20"/>
      <x:c r="X93" s="20"/>
      <x:c r="Y93" s="20"/>
      <x:c r="Z93" s="20"/>
      <x:c r="AA93" s="20"/>
      <x:c r="AB93" s="12" t="str">
        <x:v>Pendente de precificação individual</x:v>
      </x:c>
      <x:c r="AC93" s="16" t="n">
        <x:v>7.7</x:v>
      </x:c>
      <x:c r="AD93" s="12" t="str">
        <x:v>A-</x:v>
      </x:c>
      <x:c r="AE93" s="12" t="str">
        <x:v>Média</x:v>
      </x:c>
      <x:c r="AF93" s="12" t="str">
        <x:v>Brinco / detalhe</x:v>
      </x:c>
      <x:c r="AG93" s="12" t="str">
        <x:v>Brinco / detalhe</x:v>
      </x:c>
      <x:c r="AH93" s="12" t="str">
        <x:v>Coleção</x:v>
      </x:c>
      <x:c r="AI93" s="12" t="str"/>
      <x:c r="AJ93" s="12" t="str"/>
      <x:c r="AK93" s="12" t="str"/>
      <x:c r="AL93" s="12" t="str"/>
      <x:c r="AM93" s="12" t="str">
        <x:v>Não informado</x:v>
      </x:c>
      <x:c r="AN93" s="12" t="str"/>
      <x:c r="AO93" s="12" t="str">
        <x:v>2026-07-01</x:v>
      </x:c>
      <x:c r="AP93" s="12" t="str">
        <x:v>2026-07-19</x:v>
      </x:c>
      <x:c r="AQ93" s="12" t="str">
        <x:v>Alta</x:v>
      </x:c>
      <x:c r="AR93" s="12" t="str">
        <x:v>Inventário mestre completo atualizado em 2026-07-01</x:v>
      </x:c>
      <x:c r="AS93" s="12" t="str">
        <x:v>Avaliar certificação; Precificação individual pendente</x:v>
      </x:c>
      <x:c r="AT93" s="12" t="str">
        <x:v>Peso/medidas informados pelo fornecedor.</x:v>
      </x:c>
    </x:row>
    <x:row r="94">
      <x:c r="A94" s="12" t="str">
        <x:v>DG-PB-0011</x:v>
      </x:c>
      <x:c r="B94" s="12" t="str"/>
      <x:c r="C94" s="12" t="str">
        <x:v>Paraíba Collection</x:v>
      </x:c>
      <x:c r="D94" s="12" t="str">
        <x:v>Turmalinas</x:v>
      </x:c>
      <x:c r="E94" s="12" t="str">
        <x:v>Elbaíta</x:v>
      </x:c>
      <x:c r="F94" s="12" t="str">
        <x:v>Turmalina Paraíba</x:v>
      </x:c>
      <x:c r="G94" s="12" t="str">
        <x:v>Gema individual</x:v>
      </x:c>
      <x:c r="H94" s="18" t="n">
        <x:v>1</x:v>
      </x:c>
      <x:c r="I94" s="12" t="str">
        <x:v>Gota</x:v>
      </x:c>
      <x:c r="J94" s="12" t="str">
        <x:v>4.34 x 3.13</x:v>
      </x:c>
      <x:c r="K94" s="14" t="n">
        <x:v>0.165</x:v>
      </x:c>
      <x:c r="L94" s="12" t="str">
        <x:v>Sim</x:v>
      </x:c>
      <x:c r="M94" s="12" t="str">
        <x:v>Fornecedor</x:v>
      </x:c>
      <x:c r="N94" s="12" t="str">
        <x:v>Verde Neon</x:v>
      </x:c>
      <x:c r="O94" s="12" t="str">
        <x:v>Transparente a translúcida</x:v>
      </x:c>
      <x:c r="P94" s="12" t="str">
        <x:v>Brasil</x:v>
      </x:c>
      <x:c r="Q94" s="12" t="str">
        <x:v>Não avaliado / não informado</x:v>
      </x:c>
      <x:c r="R94" s="12" t="str">
        <x:v>Não</x:v>
      </x:c>
      <x:c r="S94" s="12" t="str"/>
      <x:c r="T94" s="12" t="str"/>
      <x:c r="U94" s="20" t="n">
        <x:v>640</x:v>
      </x:c>
      <x:c r="V94" s="20"/>
      <x:c r="W94" s="20"/>
      <x:c r="X94" s="20"/>
      <x:c r="Y94" s="20"/>
      <x:c r="Z94" s="20"/>
      <x:c r="AA94" s="20"/>
      <x:c r="AB94" s="12" t="str">
        <x:v>Pendente de precificação individual</x:v>
      </x:c>
      <x:c r="AC94" s="16" t="n">
        <x:v>8</x:v>
      </x:c>
      <x:c r="AD94" s="12" t="str">
        <x:v>A-</x:v>
      </x:c>
      <x:c r="AE94" s="12" t="str">
        <x:v>Média</x:v>
      </x:c>
      <x:c r="AF94" s="12" t="str">
        <x:v>Pingente / composição</x:v>
      </x:c>
      <x:c r="AG94" s="12" t="str">
        <x:v>Pingente / composição</x:v>
      </x:c>
      <x:c r="AH94" s="12" t="str">
        <x:v>Coleção</x:v>
      </x:c>
      <x:c r="AI94" s="12" t="str"/>
      <x:c r="AJ94" s="12" t="str"/>
      <x:c r="AK94" s="12" t="str"/>
      <x:c r="AL94" s="12" t="str"/>
      <x:c r="AM94" s="12" t="str">
        <x:v>Não informado</x:v>
      </x:c>
      <x:c r="AN94" s="12" t="str"/>
      <x:c r="AO94" s="12" t="str">
        <x:v>2026-07-01</x:v>
      </x:c>
      <x:c r="AP94" s="12" t="str">
        <x:v>2026-07-19</x:v>
      </x:c>
      <x:c r="AQ94" s="12" t="str">
        <x:v>Alta</x:v>
      </x:c>
      <x:c r="AR94" s="12" t="str">
        <x:v>Inventário mestre completo atualizado em 2026-07-01</x:v>
      </x:c>
      <x:c r="AS94" s="12" t="str">
        <x:v>Avaliar certificação; Precificação individual pendente</x:v>
      </x:c>
      <x:c r="AT94" s="12" t="str">
        <x:v>Peso/medidas informados pelo fornecedor.</x:v>
      </x:c>
    </x:row>
    <x:row r="95">
      <x:c r="A95" s="12" t="str">
        <x:v>DG-TR-001</x:v>
      </x:c>
      <x:c r="B95" s="12" t="str"/>
      <x:c r="C95" s="12" t="str">
        <x:v>Tourmaline Collection</x:v>
      </x:c>
      <x:c r="D95" s="12" t="str">
        <x:v>Turmalinas</x:v>
      </x:c>
      <x:c r="E95" s="12" t="str">
        <x:v>Elbaíta</x:v>
      </x:c>
      <x:c r="F95" s="12" t="str">
        <x:v>Turmalina Rosa</x:v>
      </x:c>
      <x:c r="G95" s="12" t="str">
        <x:v>Gema individual</x:v>
      </x:c>
      <x:c r="H95" s="18" t="n">
        <x:v>1</x:v>
      </x:c>
      <x:c r="I95" s="12" t="str">
        <x:v>Gota / Pear</x:v>
      </x:c>
      <x:c r="J95" s="12" t="str">
        <x:v>5 x 3 x 2</x:v>
      </x:c>
      <x:c r="K95" s="14" t="n">
        <x:v>0.16</x:v>
      </x:c>
      <x:c r="L95" s="12" t="str">
        <x:v>Sim</x:v>
      </x:c>
      <x:c r="M95" s="12" t="str">
        <x:v>Balança / informado</x:v>
      </x:c>
      <x:c r="N95" s="12" t="str">
        <x:v>Rosa intenso tendendo ao magenta</x:v>
      </x:c>
      <x:c r="O95" s="12" t="str">
        <x:v>Transparente</x:v>
      </x:c>
      <x:c r="P95" s="12" t="str">
        <x:v>Não informada</x:v>
      </x:c>
      <x:c r="Q95" s="12" t="str">
        <x:v>Não avaliado / não informado</x:v>
      </x:c>
      <x:c r="R95" s="12" t="str">
        <x:v>Não</x:v>
      </x:c>
      <x:c r="S95" s="12" t="str"/>
      <x:c r="T95" s="12" t="str"/>
      <x:c r="U95" s="20"/>
      <x:c r="V95" s="20" t="n">
        <x:v>120</x:v>
      </x:c>
      <x:c r="W95" s="20" t="n">
        <x:v>250</x:v>
      </x:c>
      <x:c r="X95" s="20" t="n">
        <x:v>250</x:v>
      </x:c>
      <x:c r="Y95" s="20" t="n">
        <x:v>500</x:v>
      </x:c>
      <x:c r="Z95" s="20" t="n">
        <x:v>1200</x:v>
      </x:c>
      <x:c r="AA95" s="20" t="n">
        <x:v>3000</x:v>
      </x:c>
      <x:c r="AB95" s="12" t="str">
        <x:v>Registrado no histórico</x:v>
      </x:c>
      <x:c r="AC95" s="16" t="n">
        <x:v>9.3</x:v>
      </x:c>
      <x:c r="AD95" s="12" t="str">
        <x:v>A</x:v>
      </x:c>
      <x:c r="AE95" s="12" t="str">
        <x:v>Média</x:v>
      </x:c>
      <x:c r="AF95" s="12" t="str">
        <x:v>Pingente delicado, brinco ou anel minimalista</x:v>
      </x:c>
      <x:c r="AG95" s="12" t="str">
        <x:v>Coleção / Joalheria</x:v>
      </x:c>
      <x:c r="AH95" s="12" t="str">
        <x:v>Coleção</x:v>
      </x:c>
      <x:c r="AI95" s="12" t="str">
        <x:v>TR-01</x:v>
      </x:c>
      <x:c r="AJ95" s="12" t="str">
        <x:v>TR-01</x:v>
      </x:c>
      <x:c r="AK95" s="12" t="str">
        <x:v>A</x:v>
      </x:c>
      <x:c r="AL95" s="12" t="str">
        <x:v>Caixa TR-01 / Envelope TR-01 / Posição A</x:v>
      </x:c>
      <x:c r="AM95" s="12" t="str">
        <x:v>Confirmada</x:v>
      </x:c>
      <x:c r="AN95" s="12" t="str">
        <x:v>IMG_0357F68B-EB26-4D1A-96B3-7A5BD62FB80F.jpeg; IMG_A7B5BEDC-90E9-487D-BDD7-2B38C985DE01.jpeg</x:v>
      </x:c>
      <x:c r="AO95" s="12" t="str">
        <x:v>2026-07-01</x:v>
      </x:c>
      <x:c r="AP95" s="12" t="str">
        <x:v>2026-07-19</x:v>
      </x:c>
      <x:c r="AQ95" s="12" t="str">
        <x:v>Alta</x:v>
      </x:c>
      <x:c r="AR95" s="12" t="str">
        <x:v>Histórico de catalogação das turmalinas rosas em 2026-07-01</x:v>
      </x:c>
      <x:c r="AS95" s="12" t="str">
        <x:v>Avaliar certificação</x:v>
      </x:c>
      <x:c r="AT95" s="12" t="str">
        <x:v>Boa saturação para o tamanho; primeira pedra do envelope TR-01.</x:v>
      </x:c>
    </x:row>
    <x:row r="96">
      <x:c r="A96" s="12" t="str">
        <x:v>DG-TR-002</x:v>
      </x:c>
      <x:c r="B96" s="12" t="str"/>
      <x:c r="C96" s="12" t="str">
        <x:v>Tourmaline Collection</x:v>
      </x:c>
      <x:c r="D96" s="12" t="str">
        <x:v>Turmalinas</x:v>
      </x:c>
      <x:c r="E96" s="12" t="str">
        <x:v>Elbaíta</x:v>
      </x:c>
      <x:c r="F96" s="12" t="str">
        <x:v>Turmalina Rosa</x:v>
      </x:c>
      <x:c r="G96" s="12" t="str">
        <x:v>Gema individual</x:v>
      </x:c>
      <x:c r="H96" s="18" t="n">
        <x:v>1</x:v>
      </x:c>
      <x:c r="I96" s="12" t="str">
        <x:v>Gota / Pear</x:v>
      </x:c>
      <x:c r="J96" s="12" t="str">
        <x:v>5 x 3 x 2</x:v>
      </x:c>
      <x:c r="K96" s="14" t="n">
        <x:v>0.15</x:v>
      </x:c>
      <x:c r="L96" s="12" t="str">
        <x:v>Sim</x:v>
      </x:c>
      <x:c r="M96" s="12" t="str">
        <x:v>Balança / informado</x:v>
      </x:c>
      <x:c r="N96" s="12" t="str">
        <x:v>Rosa médio com leve tendência ao magenta</x:v>
      </x:c>
      <x:c r="O96" s="12" t="str">
        <x:v>Transparente</x:v>
      </x:c>
      <x:c r="P96" s="12" t="str">
        <x:v>Não informada</x:v>
      </x:c>
      <x:c r="Q96" s="12" t="str">
        <x:v>Não avaliado / não informado</x:v>
      </x:c>
      <x:c r="R96" s="12" t="str">
        <x:v>Não</x:v>
      </x:c>
      <x:c r="S96" s="12" t="str"/>
      <x:c r="T96" s="12" t="str"/>
      <x:c r="U96" s="20"/>
      <x:c r="V96" s="20" t="n">
        <x:v>100</x:v>
      </x:c>
      <x:c r="W96" s="20" t="n">
        <x:v>220</x:v>
      </x:c>
      <x:c r="X96" s="20" t="n">
        <x:v>220</x:v>
      </x:c>
      <x:c r="Y96" s="20" t="n">
        <x:v>450</x:v>
      </x:c>
      <x:c r="Z96" s="20" t="n">
        <x:v>1000</x:v>
      </x:c>
      <x:c r="AA96" s="20" t="n">
        <x:v>2500</x:v>
      </x:c>
      <x:c r="AB96" s="12" t="str">
        <x:v>Registrado no histórico</x:v>
      </x:c>
      <x:c r="AC96" s="16" t="n">
        <x:v>9</x:v>
      </x:c>
      <x:c r="AD96" s="12" t="str">
        <x:v>A-</x:v>
      </x:c>
      <x:c r="AE96" s="12" t="str">
        <x:v>Baixa</x:v>
      </x:c>
      <x:c r="AF96" s="12" t="str">
        <x:v>Par/composição com DG-TR-001</x:v>
      </x:c>
      <x:c r="AG96" s="12" t="str">
        <x:v>Coleção / Joalheria</x:v>
      </x:c>
      <x:c r="AH96" s="12" t="str">
        <x:v>Coleção</x:v>
      </x:c>
      <x:c r="AI96" s="12" t="str">
        <x:v>TR-01</x:v>
      </x:c>
      <x:c r="AJ96" s="12" t="str">
        <x:v>TR-01</x:v>
      </x:c>
      <x:c r="AK96" s="12" t="str">
        <x:v>B</x:v>
      </x:c>
      <x:c r="AL96" s="12" t="str">
        <x:v>Caixa TR-01 / Envelope TR-01 / Posição B</x:v>
      </x:c>
      <x:c r="AM96" s="12" t="str">
        <x:v>Confirmada</x:v>
      </x:c>
      <x:c r="AN96" s="12" t="str">
        <x:v>IMG_FAB89A5A-0446-41C4-A013-C3D2C40DA045.jpeg; IMG_5679A140-BF9A-49A2-AA05-266A00E021BB.jpeg</x:v>
      </x:c>
      <x:c r="AO96" s="12" t="str">
        <x:v>2026-07-01</x:v>
      </x:c>
      <x:c r="AP96" s="12" t="str">
        <x:v>2026-07-19</x:v>
      </x:c>
      <x:c r="AQ96" s="12" t="str">
        <x:v>Alta</x:v>
      </x:c>
      <x:c r="AR96" s="12" t="str">
        <x:v>Histórico de catalogação das turmalinas rosas em 2026-07-01</x:v>
      </x:c>
      <x:c r="AS96" s="12" t="str"/>
      <x:c r="AT96" s="12" t="str">
        <x:v>Tom um pouco mais claro que DG-TR-001; pequena inclusão e leve zoneamento.</x:v>
      </x:c>
    </x:row>
    <x:row r="97">
      <x:c r="A97" s="12" t="str">
        <x:v>DG-TR-003</x:v>
      </x:c>
      <x:c r="B97" s="12" t="str"/>
      <x:c r="C97" s="12" t="str">
        <x:v>Tourmaline Collection</x:v>
      </x:c>
      <x:c r="D97" s="12" t="str">
        <x:v>Turmalinas</x:v>
      </x:c>
      <x:c r="E97" s="12" t="str">
        <x:v>Elbaíta</x:v>
      </x:c>
      <x:c r="F97" s="12" t="str">
        <x:v>Turmalina Rosa</x:v>
      </x:c>
      <x:c r="G97" s="12" t="str">
        <x:v>Gema individual</x:v>
      </x:c>
      <x:c r="H97" s="18" t="n">
        <x:v>1</x:v>
      </x:c>
      <x:c r="I97" s="12" t="str">
        <x:v>Retangular / Baguete / Step Cut</x:v>
      </x:c>
      <x:c r="J97" s="12" t="str">
        <x:v>5 x 3 x 2</x:v>
      </x:c>
      <x:c r="K97" s="14" t="n">
        <x:v>0.165</x:v>
      </x:c>
      <x:c r="L97" s="12" t="str">
        <x:v>Sim</x:v>
      </x:c>
      <x:c r="M97" s="12" t="str">
        <x:v>Balança / informado</x:v>
      </x:c>
      <x:c r="N97" s="12" t="str">
        <x:v>Rosa claro levemente lilás</x:v>
      </x:c>
      <x:c r="O97" s="12" t="str">
        <x:v>Transparente</x:v>
      </x:c>
      <x:c r="P97" s="12" t="str">
        <x:v>Não informada</x:v>
      </x:c>
      <x:c r="Q97" s="12" t="str">
        <x:v>Não avaliado / não informado</x:v>
      </x:c>
      <x:c r="R97" s="12" t="str">
        <x:v>Não</x:v>
      </x:c>
      <x:c r="S97" s="12" t="str"/>
      <x:c r="T97" s="12" t="str"/>
      <x:c r="U97" s="20"/>
      <x:c r="V97" s="20" t="n">
        <x:v>120</x:v>
      </x:c>
      <x:c r="W97" s="20" t="n">
        <x:v>250</x:v>
      </x:c>
      <x:c r="X97" s="20" t="n">
        <x:v>250</x:v>
      </x:c>
      <x:c r="Y97" s="20" t="n">
        <x:v>500</x:v>
      </x:c>
      <x:c r="Z97" s="20" t="n">
        <x:v>1200</x:v>
      </x:c>
      <x:c r="AA97" s="20" t="n">
        <x:v>2800</x:v>
      </x:c>
      <x:c r="AB97" s="12" t="str">
        <x:v>Registrado no histórico</x:v>
      </x:c>
      <x:c r="AC97" s="16" t="n">
        <x:v>8.8</x:v>
      </x:c>
      <x:c r="AD97" s="12" t="str">
        <x:v>A-</x:v>
      </x:c>
      <x:c r="AE97" s="12" t="str">
        <x:v>Baixa</x:v>
      </x:c>
      <x:c r="AF97" s="12" t="str">
        <x:v>Joia geométrica contemporânea</x:v>
      </x:c>
      <x:c r="AG97" s="12" t="str">
        <x:v>Coleção / Joalheria</x:v>
      </x:c>
      <x:c r="AH97" s="12" t="str">
        <x:v>Coleção</x:v>
      </x:c>
      <x:c r="AI97" s="12" t="str">
        <x:v>TR-01</x:v>
      </x:c>
      <x:c r="AJ97" s="12" t="str">
        <x:v>TR-02</x:v>
      </x:c>
      <x:c r="AK97" s="12" t="str">
        <x:v>A</x:v>
      </x:c>
      <x:c r="AL97" s="12" t="str">
        <x:v>Caixa TR-01 / Envelope TR-02 / Posição A</x:v>
      </x:c>
      <x:c r="AM97" s="12" t="str">
        <x:v>Confirmada</x:v>
      </x:c>
      <x:c r="AN97" s="12" t="str">
        <x:v>IMG_B26C7B50-B682-4B93-81A6-F363D4799FC8.jpeg; IMG_670B6F84-28C8-4EDB-A2DD-B32764F3D35D.jpeg</x:v>
      </x:c>
      <x:c r="AO97" s="12" t="str">
        <x:v>2026-07-01</x:v>
      </x:c>
      <x:c r="AP97" s="12" t="str">
        <x:v>2026-07-19</x:v>
      </x:c>
      <x:c r="AQ97" s="12" t="str">
        <x:v>Alta</x:v>
      </x:c>
      <x:c r="AR97" s="12" t="str">
        <x:v>Histórico de catalogação das turmalinas rosas em 2026-07-01</x:v>
      </x:c>
      <x:c r="AS97" s="12" t="str"/>
      <x:c r="AT97" s="12" t="str">
        <x:v>Boa transparência; possível leve janela central.</x:v>
      </x:c>
    </x:row>
    <x:row r="98">
      <x:c r="A98" s="12" t="str">
        <x:v>DG-TR-004</x:v>
      </x:c>
      <x:c r="B98" s="12" t="str"/>
      <x:c r="C98" s="12" t="str">
        <x:v>Tourmaline Collection</x:v>
      </x:c>
      <x:c r="D98" s="12" t="str">
        <x:v>Turmalinas</x:v>
      </x:c>
      <x:c r="E98" s="12" t="str">
        <x:v>Elbaíta</x:v>
      </x:c>
      <x:c r="F98" s="12" t="str">
        <x:v>Turmalina Rosa</x:v>
      </x:c>
      <x:c r="G98" s="12" t="str">
        <x:v>Gema individual</x:v>
      </x:c>
      <x:c r="H98" s="18" t="n">
        <x:v>1</x:v>
      </x:c>
      <x:c r="I98" s="12" t="str">
        <x:v>Gota / Pear Brilliant</x:v>
      </x:c>
      <x:c r="J98" s="12" t="str">
        <x:v>7 x 4 x 3</x:v>
      </x:c>
      <x:c r="K98" s="14" t="n">
        <x:v>0.35</x:v>
      </x:c>
      <x:c r="L98" s="12" t="str">
        <x:v>Sim</x:v>
      </x:c>
      <x:c r="M98" s="12" t="str">
        <x:v>Balança / informado</x:v>
      </x:c>
      <x:c r="N98" s="12" t="str">
        <x:v>Rosa médio levemente violáceo</x:v>
      </x:c>
      <x:c r="O98" s="12" t="str">
        <x:v>Transparente a semitransparente</x:v>
      </x:c>
      <x:c r="P98" s="12" t="str">
        <x:v>Não informada</x:v>
      </x:c>
      <x:c r="Q98" s="12" t="str">
        <x:v>Não avaliado / não informado</x:v>
      </x:c>
      <x:c r="R98" s="12" t="str">
        <x:v>Não</x:v>
      </x:c>
      <x:c r="S98" s="12" t="str"/>
      <x:c r="T98" s="12" t="str"/>
      <x:c r="U98" s="20"/>
      <x:c r="V98" s="20" t="n">
        <x:v>180</x:v>
      </x:c>
      <x:c r="W98" s="20" t="n">
        <x:v>350</x:v>
      </x:c>
      <x:c r="X98" s="20" t="n">
        <x:v>400</x:v>
      </x:c>
      <x:c r="Y98" s="20" t="n">
        <x:v>700</x:v>
      </x:c>
      <x:c r="Z98" s="20" t="n">
        <x:v>2000</x:v>
      </x:c>
      <x:c r="AA98" s="20" t="n">
        <x:v>4000</x:v>
      </x:c>
      <x:c r="AB98" s="12" t="str">
        <x:v>Registrado no histórico</x:v>
      </x:c>
      <x:c r="AC98" s="16" t="n">
        <x:v>8.6</x:v>
      </x:c>
      <x:c r="AD98" s="12" t="str">
        <x:v>A-</x:v>
      </x:c>
      <x:c r="AE98" s="12" t="str">
        <x:v>Média</x:v>
      </x:c>
      <x:c r="AF98" s="12" t="str">
        <x:v>Pingente, brinco ou anel com halo</x:v>
      </x:c>
      <x:c r="AG98" s="12" t="str">
        <x:v>Coleção / Joalheria</x:v>
      </x:c>
      <x:c r="AH98" s="12" t="str">
        <x:v>Coleção</x:v>
      </x:c>
      <x:c r="AI98" s="12" t="str">
        <x:v>TR-01</x:v>
      </x:c>
      <x:c r="AJ98" s="12" t="str">
        <x:v>TR-02</x:v>
      </x:c>
      <x:c r="AK98" s="12" t="str">
        <x:v>B</x:v>
      </x:c>
      <x:c r="AL98" s="12" t="str">
        <x:v>Caixa TR-01 / Envelope TR-02 / Posição B</x:v>
      </x:c>
      <x:c r="AM98" s="12" t="str">
        <x:v>Confirmada</x:v>
      </x:c>
      <x:c r="AN98" s="12" t="str">
        <x:v>IMG_DE0FAD81-7254-4041-B1AE-2E575B648517.jpeg; IMG_145C1155-25C7-4313-94EA-DFD1D128CFD4.jpeg</x:v>
      </x:c>
      <x:c r="AO98" s="12" t="str">
        <x:v>2026-07-01</x:v>
      </x:c>
      <x:c r="AP98" s="12" t="str">
        <x:v>2026-07-19</x:v>
      </x:c>
      <x:c r="AQ98" s="12" t="str">
        <x:v>Alta</x:v>
      </x:c>
      <x:c r="AR98" s="12" t="str">
        <x:v>Histórico de catalogação das turmalinas rosas em 2026-07-01</x:v>
      </x:c>
      <x:c r="AS98" s="12" t="str">
        <x:v>Avaliar certificação</x:v>
      </x:c>
      <x:c r="AT98" s="12" t="str">
        <x:v>Tamanho interessante; inclusões e fraturas cicatrizadas visíveis.</x:v>
      </x:c>
    </x:row>
    <x:row r="99">
      <x:c r="A99" s="12" t="str">
        <x:v>DG-TR-005</x:v>
      </x:c>
      <x:c r="B99" s="12" t="str"/>
      <x:c r="C99" s="12" t="str">
        <x:v>Tourmaline Collection</x:v>
      </x:c>
      <x:c r="D99" s="12" t="str">
        <x:v>Turmalinas</x:v>
      </x:c>
      <x:c r="E99" s="12" t="str">
        <x:v>Elbaíta</x:v>
      </x:c>
      <x:c r="F99" s="12" t="str">
        <x:v>Turmalina Rosa</x:v>
      </x:c>
      <x:c r="G99" s="12" t="str">
        <x:v>Gema individual</x:v>
      </x:c>
      <x:c r="H99" s="18" t="n">
        <x:v>1</x:v>
      </x:c>
      <x:c r="I99" s="12" t="str">
        <x:v>Gota / Pear Brilliant</x:v>
      </x:c>
      <x:c r="J99" s="12" t="str">
        <x:v>7 x 4 x 3</x:v>
      </x:c>
      <x:c r="K99" s="14" t="n">
        <x:v>0.275</x:v>
      </x:c>
      <x:c r="L99" s="12" t="str">
        <x:v>Sim</x:v>
      </x:c>
      <x:c r="M99" s="12" t="str">
        <x:v>Balança / informado</x:v>
      </x:c>
      <x:c r="N99" s="12" t="str">
        <x:v>Rosa médio com matiz violáceo</x:v>
      </x:c>
      <x:c r="O99" s="12" t="str">
        <x:v>Semitransparente</x:v>
      </x:c>
      <x:c r="P99" s="12" t="str">
        <x:v>Não informada</x:v>
      </x:c>
      <x:c r="Q99" s="12" t="str">
        <x:v>Não avaliado / não informado</x:v>
      </x:c>
      <x:c r="R99" s="12" t="str">
        <x:v>Não</x:v>
      </x:c>
      <x:c r="S99" s="12" t="str"/>
      <x:c r="T99" s="12" t="str"/>
      <x:c r="U99" s="20"/>
      <x:c r="V99" s="20" t="n">
        <x:v>150</x:v>
      </x:c>
      <x:c r="W99" s="20" t="n">
        <x:v>300</x:v>
      </x:c>
      <x:c r="X99" s="20" t="n">
        <x:v>350</x:v>
      </x:c>
      <x:c r="Y99" s="20" t="n">
        <x:v>600</x:v>
      </x:c>
      <x:c r="Z99" s="20" t="n">
        <x:v>1800</x:v>
      </x:c>
      <x:c r="AA99" s="20" t="n">
        <x:v>3500</x:v>
      </x:c>
      <x:c r="AB99" s="12" t="str">
        <x:v>Registrado no histórico</x:v>
      </x:c>
      <x:c r="AC99" s="16" t="n">
        <x:v>8.4</x:v>
      </x:c>
      <x:c r="AD99" s="12" t="str">
        <x:v>B+</x:v>
      </x:c>
      <x:c r="AE99" s="12" t="str">
        <x:v>Baixa</x:v>
      </x:c>
      <x:c r="AF99" s="12" t="str">
        <x:v>Brincos delicados ou pingente</x:v>
      </x:c>
      <x:c r="AG99" s="12" t="str">
        <x:v>Coleção / Joalheria</x:v>
      </x:c>
      <x:c r="AH99" s="12" t="str">
        <x:v>Coleção</x:v>
      </x:c>
      <x:c r="AI99" s="12" t="str">
        <x:v>TR-01</x:v>
      </x:c>
      <x:c r="AJ99" s="12" t="str">
        <x:v>TR-03</x:v>
      </x:c>
      <x:c r="AK99" s="12" t="str">
        <x:v>A</x:v>
      </x:c>
      <x:c r="AL99" s="12" t="str">
        <x:v>Caixa TR-01 / Envelope TR-03 / Posição A</x:v>
      </x:c>
      <x:c r="AM99" s="12" t="str">
        <x:v>Confirmada</x:v>
      </x:c>
      <x:c r="AN99" s="12" t="str">
        <x:v>IMG_D8DA0F99-0681-4CD2-8C4E-F179286C1CAA.jpeg; IMG_002E3E7B-348C-49DB-81BE-6895A860A72D.jpeg</x:v>
      </x:c>
      <x:c r="AO99" s="12" t="str">
        <x:v>2026-07-01</x:v>
      </x:c>
      <x:c r="AP99" s="12" t="str">
        <x:v>2026-07-19</x:v>
      </x:c>
      <x:c r="AQ99" s="12" t="str">
        <x:v>Alta</x:v>
      </x:c>
      <x:c r="AR99" s="12" t="str">
        <x:v>Histórico de catalogação das turmalinas rosas em 2026-07-01</x:v>
      </x:c>
      <x:c r="AS99" s="12" t="str"/>
      <x:c r="AT99" s="12" t="str">
        <x:v>Inclusões evidentes, pequena janela central e leve extinção.</x:v>
      </x:c>
    </x:row>
    <x:row r="100">
      <x:c r="A100" s="12" t="str">
        <x:v>DG-TR-006</x:v>
      </x:c>
      <x:c r="B100" s="12" t="str"/>
      <x:c r="C100" s="12" t="str">
        <x:v>Tourmaline Collection</x:v>
      </x:c>
      <x:c r="D100" s="12" t="str">
        <x:v>Turmalinas</x:v>
      </x:c>
      <x:c r="E100" s="12" t="str">
        <x:v>Elbaíta</x:v>
      </x:c>
      <x:c r="F100" s="12" t="str">
        <x:v>Turmalina Rosa</x:v>
      </x:c>
      <x:c r="G100" s="12" t="str">
        <x:v>Gema individual</x:v>
      </x:c>
      <x:c r="H100" s="18" t="n">
        <x:v>1</x:v>
      </x:c>
      <x:c r="I100" s="12" t="str">
        <x:v>Gota / Pear Brilliant</x:v>
      </x:c>
      <x:c r="J100" s="12" t="str">
        <x:v>6 x 4 x 3</x:v>
      </x:c>
      <x:c r="K100" s="14" t="n">
        <x:v>0.16</x:v>
      </x:c>
      <x:c r="L100" s="12" t="str">
        <x:v>Sim</x:v>
      </x:c>
      <x:c r="M100" s="12" t="str">
        <x:v>Balança / informado</x:v>
      </x:c>
      <x:c r="N100" s="12" t="str">
        <x:v>Rosa intenso com leve matiz magenta</x:v>
      </x:c>
      <x:c r="O100" s="12" t="str">
        <x:v>Transparente</x:v>
      </x:c>
      <x:c r="P100" s="12" t="str">
        <x:v>Não informada</x:v>
      </x:c>
      <x:c r="Q100" s="12" t="str">
        <x:v>Não avaliado / não informado</x:v>
      </x:c>
      <x:c r="R100" s="12" t="str">
        <x:v>Não</x:v>
      </x:c>
      <x:c r="S100" s="12" t="str"/>
      <x:c r="T100" s="12" t="str"/>
      <x:c r="U100" s="20"/>
      <x:c r="V100" s="20" t="n">
        <x:v>220</x:v>
      </x:c>
      <x:c r="W100" s="20" t="n">
        <x:v>420</x:v>
      </x:c>
      <x:c r="X100" s="20" t="n">
        <x:v>500</x:v>
      </x:c>
      <x:c r="Y100" s="20" t="n">
        <x:v>850</x:v>
      </x:c>
      <x:c r="Z100" s="20" t="n">
        <x:v>2000</x:v>
      </x:c>
      <x:c r="AA100" s="20" t="n">
        <x:v>4000</x:v>
      </x:c>
      <x:c r="AB100" s="12" t="str">
        <x:v>Registrado no histórico</x:v>
      </x:c>
      <x:c r="AC100" s="16" t="n">
        <x:v>8.9</x:v>
      </x:c>
      <x:c r="AD100" s="12" t="str">
        <x:v>A-</x:v>
      </x:c>
      <x:c r="AE100" s="12" t="str">
        <x:v>Média</x:v>
      </x:c>
      <x:c r="AF100" s="12" t="str">
        <x:v>Brincos delicados ou anel floral/vintage</x:v>
      </x:c>
      <x:c r="AG100" s="12" t="str">
        <x:v>Coleção / Joalheria</x:v>
      </x:c>
      <x:c r="AH100" s="12" t="str">
        <x:v>Coleção</x:v>
      </x:c>
      <x:c r="AI100" s="12" t="str">
        <x:v>TR-01</x:v>
      </x:c>
      <x:c r="AJ100" s="12" t="str">
        <x:v>TR-03</x:v>
      </x:c>
      <x:c r="AK100" s="12" t="str">
        <x:v>B</x:v>
      </x:c>
      <x:c r="AL100" s="12" t="str">
        <x:v>Caixa TR-01 / Envelope TR-03 / Posição B</x:v>
      </x:c>
      <x:c r="AM100" s="12" t="str">
        <x:v>Confirmada</x:v>
      </x:c>
      <x:c r="AN100" s="12" t="str">
        <x:v>IMG_8324A061-102D-48A9-B91F-20CBB7705847.jpeg</x:v>
      </x:c>
      <x:c r="AO100" s="12" t="str">
        <x:v>2026-07-01</x:v>
      </x:c>
      <x:c r="AP100" s="12" t="str">
        <x:v>2026-07-19</x:v>
      </x:c>
      <x:c r="AQ100" s="12" t="str">
        <x:v>Alta</x:v>
      </x:c>
      <x:c r="AR100" s="12" t="str">
        <x:v>Histórico de catalogação das turmalinas rosas em 2026-07-01</x:v>
      </x:c>
      <x:c r="AS100" s="12" t="str">
        <x:v>Avaliar certificação</x:v>
      </x:c>
      <x:c r="AT100" s="12" t="str">
        <x:v>Boa saturação, distribuição de cor e retorno de luz.</x:v>
      </x:c>
    </x:row>
    <x:row r="101">
      <x:c r="A101" s="12" t="str">
        <x:v>DG-TR-007</x:v>
      </x:c>
      <x:c r="B101" s="12" t="str"/>
      <x:c r="C101" s="12" t="str">
        <x:v>Tourmaline Collection</x:v>
      </x:c>
      <x:c r="D101" s="12" t="str">
        <x:v>Turmalinas</x:v>
      </x:c>
      <x:c r="E101" s="12" t="str">
        <x:v>Elbaíta</x:v>
      </x:c>
      <x:c r="F101" s="12" t="str">
        <x:v>Turmalina Rosa</x:v>
      </x:c>
      <x:c r="G101" s="12" t="str">
        <x:v>Gema individual</x:v>
      </x:c>
      <x:c r="H101" s="18" t="n">
        <x:v>1</x:v>
      </x:c>
      <x:c r="I101" s="12" t="str">
        <x:v>Gota / Pear Brilliant</x:v>
      </x:c>
      <x:c r="J101" s="12" t="str">
        <x:v>6 x 4 x 3</x:v>
      </x:c>
      <x:c r="K101" s="14" t="n">
        <x:v>0.245</x:v>
      </x:c>
      <x:c r="L101" s="12" t="str">
        <x:v>Sim</x:v>
      </x:c>
      <x:c r="M101" s="12" t="str">
        <x:v>Balança / informado</x:v>
      </x:c>
      <x:c r="N101" s="12" t="str">
        <x:v>Rosa claro a médio, levemente violáceo</x:v>
      </x:c>
      <x:c r="O101" s="12" t="str">
        <x:v>Transparente</x:v>
      </x:c>
      <x:c r="P101" s="12" t="str">
        <x:v>Não informada</x:v>
      </x:c>
      <x:c r="Q101" s="12" t="str">
        <x:v>Não avaliado / não informado</x:v>
      </x:c>
      <x:c r="R101" s="12" t="str">
        <x:v>Não</x:v>
      </x:c>
      <x:c r="S101" s="12" t="str"/>
      <x:c r="T101" s="12" t="str"/>
      <x:c r="U101" s="20"/>
      <x:c r="V101" s="20" t="n">
        <x:v>220</x:v>
      </x:c>
      <x:c r="W101" s="20" t="n">
        <x:v>380</x:v>
      </x:c>
      <x:c r="X101" s="20" t="n">
        <x:v>500</x:v>
      </x:c>
      <x:c r="Y101" s="20" t="n">
        <x:v>800</x:v>
      </x:c>
      <x:c r="Z101" s="20" t="n">
        <x:v>2000</x:v>
      </x:c>
      <x:c r="AA101" s="20" t="n">
        <x:v>4000</x:v>
      </x:c>
      <x:c r="AB101" s="12" t="str">
        <x:v>Registrado no histórico</x:v>
      </x:c>
      <x:c r="AC101" s="16" t="n">
        <x:v>8.7</x:v>
      </x:c>
      <x:c r="AD101" s="12" t="str">
        <x:v>B+</x:v>
      </x:c>
      <x:c r="AE101" s="12" t="str">
        <x:v>Baixa</x:v>
      </x:c>
      <x:c r="AF101" s="12" t="str">
        <x:v>Anel delicado, pingente ou brincos</x:v>
      </x:c>
      <x:c r="AG101" s="12" t="str">
        <x:v>Coleção / Joalheria</x:v>
      </x:c>
      <x:c r="AH101" s="12" t="str">
        <x:v>Coleção</x:v>
      </x:c>
      <x:c r="AI101" s="12" t="str">
        <x:v>TR-01</x:v>
      </x:c>
      <x:c r="AJ101" s="12" t="str">
        <x:v>TR-04</x:v>
      </x:c>
      <x:c r="AK101" s="12" t="str">
        <x:v>A</x:v>
      </x:c>
      <x:c r="AL101" s="12" t="str">
        <x:v>Caixa TR-01 / Envelope TR-04 / Posição A</x:v>
      </x:c>
      <x:c r="AM101" s="12" t="str">
        <x:v>Confirmada</x:v>
      </x:c>
      <x:c r="AN101" s="12" t="str">
        <x:v>IMG_DC5E5997-29F7-4EAA-A903-CAE21DB97DED.jpeg</x:v>
      </x:c>
      <x:c r="AO101" s="12" t="str">
        <x:v>2026-07-01</x:v>
      </x:c>
      <x:c r="AP101" s="12" t="str">
        <x:v>2026-07-19</x:v>
      </x:c>
      <x:c r="AQ101" s="12" t="str">
        <x:v>Alta</x:v>
      </x:c>
      <x:c r="AR101" s="12" t="str">
        <x:v>Histórico de catalogação das turmalinas rosas em 2026-07-01</x:v>
      </x:c>
      <x:c r="AS101" s="12" t="str"/>
      <x:c r="AT101" s="12" t="str">
        <x:v>Boa simetria; inclusões e fraturas naturais perceptíveis.</x:v>
      </x:c>
    </x:row>
    <x:row r="102">
      <x:c r="A102" s="12" t="str">
        <x:v>DG-TR-008</x:v>
      </x:c>
      <x:c r="B102" s="12" t="str"/>
      <x:c r="C102" s="12" t="str">
        <x:v>Tourmaline Collection</x:v>
      </x:c>
      <x:c r="D102" s="12" t="str">
        <x:v>Turmalinas</x:v>
      </x:c>
      <x:c r="E102" s="12" t="str">
        <x:v>Elbaíta</x:v>
      </x:c>
      <x:c r="F102" s="12" t="str">
        <x:v>Turmalina Rosa</x:v>
      </x:c>
      <x:c r="G102" s="12" t="str">
        <x:v>Gema individual</x:v>
      </x:c>
      <x:c r="H102" s="18" t="n">
        <x:v>1</x:v>
      </x:c>
      <x:c r="I102" s="12" t="str">
        <x:v>Retangular / Emerald / Step Cut</x:v>
      </x:c>
      <x:c r="J102" s="12" t="str">
        <x:v>6 x 4 x 3</x:v>
      </x:c>
      <x:c r="K102" s="14" t="n">
        <x:v>0.39</x:v>
      </x:c>
      <x:c r="L102" s="12" t="str">
        <x:v>Sim</x:v>
      </x:c>
      <x:c r="M102" s="12" t="str">
        <x:v>Balança / informado</x:v>
      </x:c>
      <x:c r="N102" s="12" t="str">
        <x:v>Rosa claro com leve tonalidade salmão</x:v>
      </x:c>
      <x:c r="O102" s="12" t="str">
        <x:v>Transparente</x:v>
      </x:c>
      <x:c r="P102" s="12" t="str">
        <x:v>Não informada</x:v>
      </x:c>
      <x:c r="Q102" s="12" t="str">
        <x:v>Não avaliado / não informado</x:v>
      </x:c>
      <x:c r="R102" s="12" t="str">
        <x:v>Não</x:v>
      </x:c>
      <x:c r="S102" s="12" t="str"/>
      <x:c r="T102" s="12" t="str"/>
      <x:c r="U102" s="20"/>
      <x:c r="V102" s="20" t="n">
        <x:v>350</x:v>
      </x:c>
      <x:c r="W102" s="20" t="n">
        <x:v>550</x:v>
      </x:c>
      <x:c r="X102" s="20" t="n">
        <x:v>800</x:v>
      </x:c>
      <x:c r="Y102" s="20" t="n">
        <x:v>1200</x:v>
      </x:c>
      <x:c r="Z102" s="20" t="n">
        <x:v>3000</x:v>
      </x:c>
      <x:c r="AA102" s="20" t="n">
        <x:v>5500</x:v>
      </x:c>
      <x:c r="AB102" s="12" t="str">
        <x:v>Registrado no histórico</x:v>
      </x:c>
      <x:c r="AC102" s="16" t="n">
        <x:v>9</x:v>
      </x:c>
      <x:c r="AD102" s="12" t="str">
        <x:v>A</x:v>
      </x:c>
      <x:c r="AE102" s="12" t="str">
        <x:v>Média</x:v>
      </x:c>
      <x:c r="AF102" s="12" t="str">
        <x:v>Anel solitário minimalista ou pingente moderno</x:v>
      </x:c>
      <x:c r="AG102" s="12" t="str">
        <x:v>Coleção / Joalheria</x:v>
      </x:c>
      <x:c r="AH102" s="12" t="str">
        <x:v>Coleção</x:v>
      </x:c>
      <x:c r="AI102" s="12" t="str">
        <x:v>TR-01</x:v>
      </x:c>
      <x:c r="AJ102" s="12" t="str">
        <x:v>TR-04</x:v>
      </x:c>
      <x:c r="AK102" s="12" t="str">
        <x:v>B</x:v>
      </x:c>
      <x:c r="AL102" s="12" t="str">
        <x:v>Caixa TR-01 / Envelope TR-04 / Posição B</x:v>
      </x:c>
      <x:c r="AM102" s="12" t="str">
        <x:v>Confirmada</x:v>
      </x:c>
      <x:c r="AN102" s="12" t="str">
        <x:v>IMG_21A1B59B-4E60-4707-B0AB-6BE1598B7F29.jpeg; IMG_C8FB69A5-B9FE-4682-9AEC-DB8622C38F7F.jpeg; IMG_48189CA2-5498-4542-9CE5-FCDC3C73ECDC.jpeg</x:v>
      </x:c>
      <x:c r="AO102" s="12" t="str">
        <x:v>2026-07-01</x:v>
      </x:c>
      <x:c r="AP102" s="12" t="str">
        <x:v>2026-07-19</x:v>
      </x:c>
      <x:c r="AQ102" s="12" t="str">
        <x:v>Alta</x:v>
      </x:c>
      <x:c r="AR102" s="12" t="str">
        <x:v>Histórico de catalogação das turmalinas rosas em 2026-07-01</x:v>
      </x:c>
      <x:c r="AS102" s="12" t="str">
        <x:v>Avaliar certificação</x:v>
      </x:c>
      <x:c r="AT102" s="12" t="str">
        <x:v>Lapidação retangular equilibrada; boa transparência e peso para as dimensões.</x:v>
      </x:c>
    </x:row>
    <x:row r="103">
      <x:c r="A103" s="12" t="str">
        <x:v>DG-TR-009</x:v>
      </x:c>
      <x:c r="B103" s="12" t="str"/>
      <x:c r="C103" s="12" t="str">
        <x:v>Tourmaline Collection</x:v>
      </x:c>
      <x:c r="D103" s="12" t="str">
        <x:v>Turmalinas</x:v>
      </x:c>
      <x:c r="E103" s="12" t="str">
        <x:v>Elbaíta</x:v>
      </x:c>
      <x:c r="F103" s="12" t="str">
        <x:v>Turmalina Rosa</x:v>
      </x:c>
      <x:c r="G103" s="12" t="str">
        <x:v>Gema individual</x:v>
      </x:c>
      <x:c r="H103" s="18" t="n">
        <x:v>1</x:v>
      </x:c>
      <x:c r="I103" s="12" t="str">
        <x:v>Retangular / Emerald / Step Cut</x:v>
      </x:c>
      <x:c r="J103" s="12" t="str">
        <x:v>5 x 3 x 3</x:v>
      </x:c>
      <x:c r="K103" s="14" t="n">
        <x:v>0.18</x:v>
      </x:c>
      <x:c r="L103" s="12" t="str">
        <x:v>Sim</x:v>
      </x:c>
      <x:c r="M103" s="12" t="str">
        <x:v>Balança / informado</x:v>
      </x:c>
      <x:c r="N103" s="12" t="str">
        <x:v>Rosa médio-claro</x:v>
      </x:c>
      <x:c r="O103" s="12" t="str">
        <x:v>Transparente</x:v>
      </x:c>
      <x:c r="P103" s="12" t="str">
        <x:v>Não informada</x:v>
      </x:c>
      <x:c r="Q103" s="12" t="str">
        <x:v>Não avaliado / não informado</x:v>
      </x:c>
      <x:c r="R103" s="12" t="str">
        <x:v>Não</x:v>
      </x:c>
      <x:c r="S103" s="12" t="str"/>
      <x:c r="T103" s="12" t="str"/>
      <x:c r="U103" s="20"/>
      <x:c r="V103" s="20" t="n">
        <x:v>180</x:v>
      </x:c>
      <x:c r="W103" s="20" t="n">
        <x:v>320</x:v>
      </x:c>
      <x:c r="X103" s="20" t="n">
        <x:v>450</x:v>
      </x:c>
      <x:c r="Y103" s="20" t="n">
        <x:v>800</x:v>
      </x:c>
      <x:c r="Z103" s="20" t="n">
        <x:v>2000</x:v>
      </x:c>
      <x:c r="AA103" s="20" t="n">
        <x:v>3800</x:v>
      </x:c>
      <x:c r="AB103" s="12" t="str">
        <x:v>Registrado no histórico</x:v>
      </x:c>
      <x:c r="AC103" s="16" t="n">
        <x:v>8.7</x:v>
      </x:c>
      <x:c r="AD103" s="12" t="str">
        <x:v>B+</x:v>
      </x:c>
      <x:c r="AE103" s="12" t="str">
        <x:v>Baixa</x:v>
      </x:c>
      <x:c r="AF103" s="12" t="str">
        <x:v>Anel delicado, pingente ou brinco</x:v>
      </x:c>
      <x:c r="AG103" s="12" t="str">
        <x:v>Coleção / Joalheria</x:v>
      </x:c>
      <x:c r="AH103" s="12" t="str">
        <x:v>Coleção</x:v>
      </x:c>
      <x:c r="AI103" s="12" t="str">
        <x:v>TR-01</x:v>
      </x:c>
      <x:c r="AJ103" s="12" t="str">
        <x:v>TR-05</x:v>
      </x:c>
      <x:c r="AK103" s="12" t="str">
        <x:v>A</x:v>
      </x:c>
      <x:c r="AL103" s="12" t="str">
        <x:v>Caixa TR-01 / Envelope TR-05 / Posição A</x:v>
      </x:c>
      <x:c r="AM103" s="12" t="str">
        <x:v>Confirmada</x:v>
      </x:c>
      <x:c r="AN103" s="12" t="str">
        <x:v>IMG_5E6A2E4B-84CE-43F3-B34C-3F55F031D354.jpeg; IMG_DE927128-0F8E-4A87-9E45-3C3AF1C3D20D.jpeg</x:v>
      </x:c>
      <x:c r="AO103" s="12" t="str">
        <x:v>2026-07-01</x:v>
      </x:c>
      <x:c r="AP103" s="12" t="str">
        <x:v>2026-07-19</x:v>
      </x:c>
      <x:c r="AQ103" s="12" t="str">
        <x:v>Alta</x:v>
      </x:c>
      <x:c r="AR103" s="12" t="str">
        <x:v>Histórico de catalogação das turmalinas rosas em 2026-07-01</x:v>
      </x:c>
      <x:c r="AS103" s="12" t="str"/>
      <x:c r="AT103" s="12" t="str">
        <x:v>Boa proporção; inclusões próximas ao pavilhão e possível janela central.</x:v>
      </x:c>
    </x:row>
    <x:row r="104">
      <x:c r="A104" s="12" t="str">
        <x:v>DG-TR-010</x:v>
      </x:c>
      <x:c r="B104" s="12" t="str"/>
      <x:c r="C104" s="12" t="str">
        <x:v>Tourmaline Collection</x:v>
      </x:c>
      <x:c r="D104" s="12" t="str">
        <x:v>Turmalinas</x:v>
      </x:c>
      <x:c r="E104" s="12" t="str">
        <x:v>Elbaíta</x:v>
      </x:c>
      <x:c r="F104" s="12" t="str">
        <x:v>Turmalina Rosa</x:v>
      </x:c>
      <x:c r="G104" s="12" t="str">
        <x:v>Gema individual</x:v>
      </x:c>
      <x:c r="H104" s="18" t="n">
        <x:v>1</x:v>
      </x:c>
      <x:c r="I104" s="12" t="str">
        <x:v>Retangular / Emerald / Step Cut</x:v>
      </x:c>
      <x:c r="J104" s="12" t="str">
        <x:v>5 x 3 x 2</x:v>
      </x:c>
      <x:c r="K104" s="14" t="n">
        <x:v>0.15</x:v>
      </x:c>
      <x:c r="L104" s="12" t="str">
        <x:v>Sim</x:v>
      </x:c>
      <x:c r="M104" s="12" t="str">
        <x:v>Balança / informado</x:v>
      </x:c>
      <x:c r="N104" s="12" t="str">
        <x:v>Rosa claro</x:v>
      </x:c>
      <x:c r="O104" s="12" t="str">
        <x:v>Transparente</x:v>
      </x:c>
      <x:c r="P104" s="12" t="str">
        <x:v>Não informada</x:v>
      </x:c>
      <x:c r="Q104" s="12" t="str">
        <x:v>Não avaliado / não informado</x:v>
      </x:c>
      <x:c r="R104" s="12" t="str">
        <x:v>Não</x:v>
      </x:c>
      <x:c r="S104" s="12" t="str"/>
      <x:c r="T104" s="12" t="str"/>
      <x:c r="U104" s="20"/>
      <x:c r="V104" s="20" t="n">
        <x:v>150</x:v>
      </x:c>
      <x:c r="W104" s="20" t="n">
        <x:v>280</x:v>
      </x:c>
      <x:c r="X104" s="20" t="n">
        <x:v>380</x:v>
      </x:c>
      <x:c r="Y104" s="20" t="n">
        <x:v>700</x:v>
      </x:c>
      <x:c r="Z104" s="20" t="n">
        <x:v>1800</x:v>
      </x:c>
      <x:c r="AA104" s="20" t="n">
        <x:v>3500</x:v>
      </x:c>
      <x:c r="AB104" s="12" t="str">
        <x:v>Registrado no histórico</x:v>
      </x:c>
      <x:c r="AC104" s="16" t="n">
        <x:v>8.5</x:v>
      </x:c>
      <x:c r="AD104" s="12" t="str">
        <x:v>B+</x:v>
      </x:c>
      <x:c r="AE104" s="12" t="str">
        <x:v>Baixa</x:v>
      </x:c>
      <x:c r="AF104" s="12" t="str">
        <x:v>Joias minimalistas e composições</x:v>
      </x:c>
      <x:c r="AG104" s="12" t="str">
        <x:v>Coleção / Joalheria</x:v>
      </x:c>
      <x:c r="AH104" s="12" t="str">
        <x:v>Coleção</x:v>
      </x:c>
      <x:c r="AI104" s="12" t="str">
        <x:v>TR-01</x:v>
      </x:c>
      <x:c r="AJ104" s="12" t="str">
        <x:v>TR-05</x:v>
      </x:c>
      <x:c r="AK104" s="12" t="str">
        <x:v>B</x:v>
      </x:c>
      <x:c r="AL104" s="12" t="str">
        <x:v>Caixa TR-01 / Envelope TR-05 / Posição B</x:v>
      </x:c>
      <x:c r="AM104" s="12" t="str">
        <x:v>Confirmada</x:v>
      </x:c>
      <x:c r="AN104" s="12" t="str">
        <x:v>IMG_404CF784-F3EC-463F-A7F7-C4A135F09096.jpeg; IMG_C9F5B4C4-D6B4-4ED1-B82D-ACF3B5A97E54.jpeg</x:v>
      </x:c>
      <x:c r="AO104" s="12" t="str">
        <x:v>2026-07-01</x:v>
      </x:c>
      <x:c r="AP104" s="12" t="str">
        <x:v>2026-07-19</x:v>
      </x:c>
      <x:c r="AQ104" s="12" t="str">
        <x:v>Alta</x:v>
      </x:c>
      <x:c r="AR104" s="12" t="str">
        <x:v>Histórico de catalogação das turmalinas rosas em 2026-07-01</x:v>
      </x:c>
      <x:c r="AS104" s="12" t="str"/>
      <x:c r="AT104" s="12" t="str">
        <x:v>Inclusões e fraturas cicatrizadas atravessando a mesa.</x:v>
      </x:c>
    </x:row>
    <x:row r="105">
      <x:c r="A105" s="12" t="str">
        <x:v>DG-TR-011</x:v>
      </x:c>
      <x:c r="B105" s="12" t="str"/>
      <x:c r="C105" s="12" t="str">
        <x:v>Tourmaline Collection</x:v>
      </x:c>
      <x:c r="D105" s="12" t="str">
        <x:v>Turmalinas</x:v>
      </x:c>
      <x:c r="E105" s="12" t="str">
        <x:v>Elbaíta</x:v>
      </x:c>
      <x:c r="F105" s="12" t="str">
        <x:v>Turmalina Rosa</x:v>
      </x:c>
      <x:c r="G105" s="12" t="str">
        <x:v>Gema individual</x:v>
      </x:c>
      <x:c r="H105" s="18" t="n">
        <x:v>1</x:v>
      </x:c>
      <x:c r="I105" s="12" t="str">
        <x:v>Quadrada / Step Cut / Cushion quadrado</x:v>
      </x:c>
      <x:c r="J105" s="12" t="str">
        <x:v>5 x 5 x 3</x:v>
      </x:c>
      <x:c r="K105" s="14" t="n">
        <x:v>0.245</x:v>
      </x:c>
      <x:c r="L105" s="12" t="str">
        <x:v>Sim</x:v>
      </x:c>
      <x:c r="M105" s="12" t="str">
        <x:v>Balança / informado</x:v>
      </x:c>
      <x:c r="N105" s="12" t="str">
        <x:v>Rosa claro</x:v>
      </x:c>
      <x:c r="O105" s="12" t="str">
        <x:v>Transparente a translúcida</x:v>
      </x:c>
      <x:c r="P105" s="12" t="str">
        <x:v>Não informada</x:v>
      </x:c>
      <x:c r="Q105" s="12" t="str">
        <x:v>Não avaliado / não informado</x:v>
      </x:c>
      <x:c r="R105" s="12" t="str">
        <x:v>Não</x:v>
      </x:c>
      <x:c r="S105" s="12" t="str"/>
      <x:c r="T105" s="12" t="str"/>
      <x:c r="U105" s="20"/>
      <x:c r="V105" s="20" t="n">
        <x:v>140</x:v>
      </x:c>
      <x:c r="W105" s="20" t="n">
        <x:v>260</x:v>
      </x:c>
      <x:c r="X105" s="20" t="n">
        <x:v>350</x:v>
      </x:c>
      <x:c r="Y105" s="20" t="n">
        <x:v>650</x:v>
      </x:c>
      <x:c r="Z105" s="20" t="n">
        <x:v>1600</x:v>
      </x:c>
      <x:c r="AA105" s="20" t="n">
        <x:v>3200</x:v>
      </x:c>
      <x:c r="AB105" s="12" t="str">
        <x:v>Registrado no histórico</x:v>
      </x:c>
      <x:c r="AC105" s="16" t="n">
        <x:v>8.3</x:v>
      </x:c>
      <x:c r="AD105" s="12" t="str">
        <x:v>B+</x:v>
      </x:c>
      <x:c r="AE105" s="12" t="str">
        <x:v>Baixa</x:v>
      </x:c>
      <x:c r="AF105" s="12" t="str">
        <x:v>Anel delicado ou pingente geométrico</x:v>
      </x:c>
      <x:c r="AG105" s="12" t="str">
        <x:v>Coleção / Joalheria</x:v>
      </x:c>
      <x:c r="AH105" s="12" t="str">
        <x:v>Coleção</x:v>
      </x:c>
      <x:c r="AI105" s="12" t="str">
        <x:v>TR-01</x:v>
      </x:c>
      <x:c r="AJ105" s="12" t="str">
        <x:v>TR-06</x:v>
      </x:c>
      <x:c r="AK105" s="12" t="str">
        <x:v>A</x:v>
      </x:c>
      <x:c r="AL105" s="12" t="str">
        <x:v>Caixa TR-01 / Envelope TR-06 / Posição A</x:v>
      </x:c>
      <x:c r="AM105" s="12" t="str">
        <x:v>Confirmada</x:v>
      </x:c>
      <x:c r="AN105" s="12" t="str">
        <x:v>IMG_071B5E6A-472A-4C5B-9833-F15E224972C8.jpeg</x:v>
      </x:c>
      <x:c r="AO105" s="12" t="str">
        <x:v>2026-07-01</x:v>
      </x:c>
      <x:c r="AP105" s="12" t="str">
        <x:v>2026-07-19</x:v>
      </x:c>
      <x:c r="AQ105" s="12" t="str">
        <x:v>Alta</x:v>
      </x:c>
      <x:c r="AR105" s="12" t="str">
        <x:v>Histórico de catalogação das turmalinas rosas em 2026-07-01</x:v>
      </x:c>
      <x:c r="AS105" s="12" t="str"/>
      <x:c r="AT105" s="12" t="str">
        <x:v>Formato quadrado; inclusões e fraturas internas visíveis.</x:v>
      </x:c>
    </x:row>
    <x:row r="106">
      <x:c r="A106" s="12" t="str">
        <x:v>DG-TR-012</x:v>
      </x:c>
      <x:c r="B106" s="12" t="str"/>
      <x:c r="C106" s="12" t="str">
        <x:v>Tourmaline Collection</x:v>
      </x:c>
      <x:c r="D106" s="12" t="str">
        <x:v>Turmalinas</x:v>
      </x:c>
      <x:c r="E106" s="12" t="str">
        <x:v>Elbaíta</x:v>
      </x:c>
      <x:c r="F106" s="12" t="str">
        <x:v>Turmalina Rosa</x:v>
      </x:c>
      <x:c r="G106" s="12" t="str">
        <x:v>Gema individual</x:v>
      </x:c>
      <x:c r="H106" s="18" t="n">
        <x:v>1</x:v>
      </x:c>
      <x:c r="I106" s="12" t="str">
        <x:v>Quadrada / Princess / Square Modified</x:v>
      </x:c>
      <x:c r="J106" s="12" t="str">
        <x:v>4 x 4 x 2</x:v>
      </x:c>
      <x:c r="K106" s="14" t="n">
        <x:v>0.105</x:v>
      </x:c>
      <x:c r="L106" s="12" t="str">
        <x:v>Sim</x:v>
      </x:c>
      <x:c r="M106" s="12" t="str">
        <x:v>Balança / informado</x:v>
      </x:c>
      <x:c r="N106" s="12" t="str">
        <x:v>Rosa médio</x:v>
      </x:c>
      <x:c r="O106" s="12" t="str">
        <x:v>Transparente</x:v>
      </x:c>
      <x:c r="P106" s="12" t="str">
        <x:v>Não informada</x:v>
      </x:c>
      <x:c r="Q106" s="12" t="str">
        <x:v>Não avaliado / não informado</x:v>
      </x:c>
      <x:c r="R106" s="12" t="str">
        <x:v>Não</x:v>
      </x:c>
      <x:c r="S106" s="12" t="str"/>
      <x:c r="T106" s="12" t="str"/>
      <x:c r="U106" s="20"/>
      <x:c r="V106" s="20" t="n">
        <x:v>80</x:v>
      </x:c>
      <x:c r="W106" s="20" t="n">
        <x:v>180</x:v>
      </x:c>
      <x:c r="X106" s="20" t="n">
        <x:v>220</x:v>
      </x:c>
      <x:c r="Y106" s="20" t="n">
        <x:v>450</x:v>
      </x:c>
      <x:c r="Z106" s="20" t="n">
        <x:v>1200</x:v>
      </x:c>
      <x:c r="AA106" s="20" t="n">
        <x:v>2500</x:v>
      </x:c>
      <x:c r="AB106" s="12" t="str">
        <x:v>Registrado no histórico</x:v>
      </x:c>
      <x:c r="AC106" s="16" t="n">
        <x:v>8.5</x:v>
      </x:c>
      <x:c r="AD106" s="12" t="str">
        <x:v>B+</x:v>
      </x:c>
      <x:c r="AE106" s="12" t="str">
        <x:v>Baixa</x:v>
      </x:c>
      <x:c r="AF106" s="12" t="str">
        <x:v>Pavê, brinco ou detalhe geométrico</x:v>
      </x:c>
      <x:c r="AG106" s="12" t="str">
        <x:v>Coleção / Joalheria</x:v>
      </x:c>
      <x:c r="AH106" s="12" t="str">
        <x:v>Coleção</x:v>
      </x:c>
      <x:c r="AI106" s="12" t="str">
        <x:v>TR-01</x:v>
      </x:c>
      <x:c r="AJ106" s="12" t="str">
        <x:v>TR-06</x:v>
      </x:c>
      <x:c r="AK106" s="12" t="str">
        <x:v>B</x:v>
      </x:c>
      <x:c r="AL106" s="12" t="str">
        <x:v>Caixa TR-01 / Envelope TR-06 / Posição B</x:v>
      </x:c>
      <x:c r="AM106" s="12" t="str">
        <x:v>Confirmada</x:v>
      </x:c>
      <x:c r="AN106" s="12" t="str">
        <x:v>IMG_602B1287-A144-4660-9D03-D5198689F6CE.jpeg</x:v>
      </x:c>
      <x:c r="AO106" s="12" t="str">
        <x:v>2026-07-01</x:v>
      </x:c>
      <x:c r="AP106" s="12" t="str">
        <x:v>2026-07-19</x:v>
      </x:c>
      <x:c r="AQ106" s="12" t="str">
        <x:v>Alta</x:v>
      </x:c>
      <x:c r="AR106" s="12" t="str">
        <x:v>Histórico de catalogação das turmalinas rosas em 2026-07-01</x:v>
      </x:c>
      <x:c r="AS106" s="12" t="str"/>
      <x:c r="AT106" s="12" t="str">
        <x:v>Pequena pedra quadrada, boa simetria e cor viva para o tamanho.</x:v>
      </x:c>
    </x:row>
    <x:row r="107">
      <x:c r="A107" s="12" t="str">
        <x:v>DG-TR-013</x:v>
      </x:c>
      <x:c r="B107" s="12" t="str"/>
      <x:c r="C107" s="12" t="str">
        <x:v>Tourmaline Collection</x:v>
      </x:c>
      <x:c r="D107" s="12" t="str">
        <x:v>Turmalinas</x:v>
      </x:c>
      <x:c r="E107" s="12" t="str">
        <x:v>Elbaíta</x:v>
      </x:c>
      <x:c r="F107" s="12" t="str">
        <x:v>Turmalina Rosa</x:v>
      </x:c>
      <x:c r="G107" s="12" t="str">
        <x:v>Gema individual</x:v>
      </x:c>
      <x:c r="H107" s="18" t="n">
        <x:v>1</x:v>
      </x:c>
      <x:c r="I107" s="12" t="str">
        <x:v>Retangular / Emerald / Step Cut</x:v>
      </x:c>
      <x:c r="J107" s="12" t="str">
        <x:v>5 x 3 x 2</x:v>
      </x:c>
      <x:c r="K107" s="14" t="n">
        <x:v>0.235</x:v>
      </x:c>
      <x:c r="L107" s="12" t="str">
        <x:v>Sim</x:v>
      </x:c>
      <x:c r="M107" s="12" t="str">
        <x:v>Balança / informado</x:v>
      </x:c>
      <x:c r="N107" s="12" t="str">
        <x:v>Rosa médio</x:v>
      </x:c>
      <x:c r="O107" s="12" t="str">
        <x:v>Transparente</x:v>
      </x:c>
      <x:c r="P107" s="12" t="str">
        <x:v>Não informada</x:v>
      </x:c>
      <x:c r="Q107" s="12" t="str">
        <x:v>Não avaliado / não informado</x:v>
      </x:c>
      <x:c r="R107" s="12" t="str">
        <x:v>Não</x:v>
      </x:c>
      <x:c r="S107" s="12" t="str"/>
      <x:c r="T107" s="12" t="str"/>
      <x:c r="U107" s="20"/>
      <x:c r="V107" s="20" t="n">
        <x:v>120</x:v>
      </x:c>
      <x:c r="W107" s="20" t="n">
        <x:v>240</x:v>
      </x:c>
      <x:c r="X107" s="20" t="n">
        <x:v>300</x:v>
      </x:c>
      <x:c r="Y107" s="20" t="n">
        <x:v>600</x:v>
      </x:c>
      <x:c r="Z107" s="20" t="n">
        <x:v>1500</x:v>
      </x:c>
      <x:c r="AA107" s="20" t="n">
        <x:v>3000</x:v>
      </x:c>
      <x:c r="AB107" s="12" t="str">
        <x:v>Registrado no histórico</x:v>
      </x:c>
      <x:c r="AC107" s="16" t="n">
        <x:v>8.3</x:v>
      </x:c>
      <x:c r="AD107" s="12" t="str">
        <x:v>B</x:v>
      </x:c>
      <x:c r="AE107" s="12" t="str">
        <x:v>Baixa</x:v>
      </x:c>
      <x:c r="AF107" s="12" t="str">
        <x:v>Anel ou pingente delicado em ouro rosé/amarelo</x:v>
      </x:c>
      <x:c r="AG107" s="12" t="str">
        <x:v>Coleção / Joalheria</x:v>
      </x:c>
      <x:c r="AH107" s="12" t="str">
        <x:v>Coleção</x:v>
      </x:c>
      <x:c r="AI107" s="12" t="str">
        <x:v>TR-01</x:v>
      </x:c>
      <x:c r="AJ107" s="12" t="str">
        <x:v>TR-07</x:v>
      </x:c>
      <x:c r="AK107" s="12" t="str">
        <x:v>A</x:v>
      </x:c>
      <x:c r="AL107" s="12" t="str">
        <x:v>Caixa TR-01 / Envelope TR-07 / Posição A</x:v>
      </x:c>
      <x:c r="AM107" s="12" t="str">
        <x:v>Confirmada</x:v>
      </x:c>
      <x:c r="AN107" s="12" t="str">
        <x:v>IMG_540DB597-B8BB-44ED-AB79-B82E9BF87898.jpeg</x:v>
      </x:c>
      <x:c r="AO107" s="12" t="str">
        <x:v>2026-07-01</x:v>
      </x:c>
      <x:c r="AP107" s="12" t="str">
        <x:v>2026-07-19</x:v>
      </x:c>
      <x:c r="AQ107" s="12" t="str">
        <x:v>Alta</x:v>
      </x:c>
      <x:c r="AR107" s="12" t="str">
        <x:v>Histórico de catalogação das turmalinas rosas em 2026-07-01</x:v>
      </x:c>
      <x:c r="AS107" s="12" t="str"/>
      <x:c r="AT107" s="12" t="str">
        <x:v>Boa saturação, mas inclusões cristalinas e fraturas internas aparentes.</x:v>
      </x:c>
    </x:row>
    <x:row r="108">
      <x:c r="A108" s="12" t="str">
        <x:v>DG-TR-014</x:v>
      </x:c>
      <x:c r="B108" s="12" t="str"/>
      <x:c r="C108" s="12" t="str">
        <x:v>Tourmaline Collection</x:v>
      </x:c>
      <x:c r="D108" s="12" t="str">
        <x:v>Turmalinas</x:v>
      </x:c>
      <x:c r="E108" s="12" t="str">
        <x:v>Elbaíta</x:v>
      </x:c>
      <x:c r="F108" s="12" t="str">
        <x:v>Turmalina Rosa</x:v>
      </x:c>
      <x:c r="G108" s="12" t="str">
        <x:v>Gema individual</x:v>
      </x:c>
      <x:c r="H108" s="18" t="n">
        <x:v>1</x:v>
      </x:c>
      <x:c r="I108" s="12" t="str">
        <x:v>Baguete / Step Cut alongada</x:v>
      </x:c>
      <x:c r="J108" s="12" t="str">
        <x:v>7 x 3 x 2</x:v>
      </x:c>
      <x:c r="K108" s="14" t="n">
        <x:v>0.225</x:v>
      </x:c>
      <x:c r="L108" s="12" t="str">
        <x:v>Sim</x:v>
      </x:c>
      <x:c r="M108" s="12" t="str">
        <x:v>Balança / informado</x:v>
      </x:c>
      <x:c r="N108" s="12" t="str">
        <x:v>Rosa claro</x:v>
      </x:c>
      <x:c r="O108" s="12" t="str">
        <x:v>Transparente</x:v>
      </x:c>
      <x:c r="P108" s="12" t="str">
        <x:v>Não informada</x:v>
      </x:c>
      <x:c r="Q108" s="12" t="str">
        <x:v>Não avaliado / não informado</x:v>
      </x:c>
      <x:c r="R108" s="12" t="str">
        <x:v>Não</x:v>
      </x:c>
      <x:c r="S108" s="12" t="str"/>
      <x:c r="T108" s="12" t="str"/>
      <x:c r="U108" s="20"/>
      <x:c r="V108" s="20" t="n">
        <x:v>180</x:v>
      </x:c>
      <x:c r="W108" s="20" t="n">
        <x:v>320</x:v>
      </x:c>
      <x:c r="X108" s="20" t="n">
        <x:v>450</x:v>
      </x:c>
      <x:c r="Y108" s="20" t="n">
        <x:v>850</x:v>
      </x:c>
      <x:c r="Z108" s="20" t="n">
        <x:v>2000</x:v>
      </x:c>
      <x:c r="AA108" s="20" t="n">
        <x:v>4000</x:v>
      </x:c>
      <x:c r="AB108" s="12" t="str">
        <x:v>Registrado no histórico</x:v>
      </x:c>
      <x:c r="AC108" s="16" t="n">
        <x:v>8.8</x:v>
      </x:c>
      <x:c r="AD108" s="12" t="str">
        <x:v>A-</x:v>
      </x:c>
      <x:c r="AE108" s="12" t="str">
        <x:v>Média</x:v>
      </x:c>
      <x:c r="AF108" s="12" t="str">
        <x:v>Joia Art Déco, lateral de anel ou pulseira</x:v>
      </x:c>
      <x:c r="AG108" s="12" t="str">
        <x:v>Coleção / Joalheria</x:v>
      </x:c>
      <x:c r="AH108" s="12" t="str">
        <x:v>Coleção</x:v>
      </x:c>
      <x:c r="AI108" s="12" t="str">
        <x:v>TR-01</x:v>
      </x:c>
      <x:c r="AJ108" s="12" t="str">
        <x:v>TR-07</x:v>
      </x:c>
      <x:c r="AK108" s="12" t="str">
        <x:v>B</x:v>
      </x:c>
      <x:c r="AL108" s="12" t="str">
        <x:v>Caixa TR-01 / Envelope TR-07 / Posição B</x:v>
      </x:c>
      <x:c r="AM108" s="12" t="str">
        <x:v>Confirmada</x:v>
      </x:c>
      <x:c r="AN108" s="12" t="str">
        <x:v>IMG_47801ADA-64E1-4DE1-8B3C-A54FE694DD24.jpeg</x:v>
      </x:c>
      <x:c r="AO108" s="12" t="str">
        <x:v>2026-07-01</x:v>
      </x:c>
      <x:c r="AP108" s="12" t="str">
        <x:v>2026-07-19</x:v>
      </x:c>
      <x:c r="AQ108" s="12" t="str">
        <x:v>Alta</x:v>
      </x:c>
      <x:c r="AR108" s="12" t="str">
        <x:v>Histórico de catalogação das turmalinas rosas em 2026-07-01</x:v>
      </x:c>
      <x:c r="AS108" s="12" t="str">
        <x:v>Avaliar certificação</x:v>
      </x:c>
      <x:c r="AT108" s="12" t="str">
        <x:v>Formato alongado elegante; inclusões lineares discretas e leve janela.</x:v>
      </x:c>
    </x:row>
    <x:row r="109">
      <x:c r="A109" s="12" t="str">
        <x:v>DG-TR-015</x:v>
      </x:c>
      <x:c r="B109" s="12" t="str"/>
      <x:c r="C109" s="12" t="str">
        <x:v>Tourmaline Collection</x:v>
      </x:c>
      <x:c r="D109" s="12" t="str">
        <x:v>Turmalinas</x:v>
      </x:c>
      <x:c r="E109" s="12" t="str">
        <x:v>Elbaíta</x:v>
      </x:c>
      <x:c r="F109" s="12" t="str">
        <x:v>Turmalina Rosa</x:v>
      </x:c>
      <x:c r="G109" s="12" t="str">
        <x:v>Gema individual</x:v>
      </x:c>
      <x:c r="H109" s="18" t="n">
        <x:v>1</x:v>
      </x:c>
      <x:c r="I109" s="12" t="str">
        <x:v>Retangular / Step Cut</x:v>
      </x:c>
      <x:c r="J109" s="12" t="str">
        <x:v>5 x 3 x 2</x:v>
      </x:c>
      <x:c r="K109" s="14" t="n">
        <x:v>0.195</x:v>
      </x:c>
      <x:c r="L109" s="12" t="str">
        <x:v>Sim</x:v>
      </x:c>
      <x:c r="M109" s="12" t="str">
        <x:v>Balança / informado</x:v>
      </x:c>
      <x:c r="N109" s="12" t="str">
        <x:v>Rosa claro a médio</x:v>
      </x:c>
      <x:c r="O109" s="12" t="str">
        <x:v>Transparente</x:v>
      </x:c>
      <x:c r="P109" s="12" t="str">
        <x:v>Não informada</x:v>
      </x:c>
      <x:c r="Q109" s="12" t="str">
        <x:v>Não avaliado / não informado</x:v>
      </x:c>
      <x:c r="R109" s="12" t="str">
        <x:v>Não</x:v>
      </x:c>
      <x:c r="S109" s="12" t="str"/>
      <x:c r="T109" s="12" t="str"/>
      <x:c r="U109" s="20"/>
      <x:c r="V109" s="20"/>
      <x:c r="W109" s="20"/>
      <x:c r="X109" s="20"/>
      <x:c r="Y109" s="20"/>
      <x:c r="Z109" s="20"/>
      <x:c r="AA109" s="20"/>
      <x:c r="AB109" s="12" t="str">
        <x:v>Pendente de precificação individual</x:v>
      </x:c>
      <x:c r="AC109" s="16"/>
      <x:c r="AD109" s="12" t="str">
        <x:v>Pendente</x:v>
      </x:c>
      <x:c r="AE109" s="12" t="str">
        <x:v>Baixa</x:v>
      </x:c>
      <x:c r="AF109" s="12" t="str">
        <x:v>Composição geométrica; avaliação textual pendente</x:v>
      </x:c>
      <x:c r="AG109" s="12" t="str">
        <x:v>Coleção / Joalheria</x:v>
      </x:c>
      <x:c r="AH109" s="12" t="str">
        <x:v>Coleção</x:v>
      </x:c>
      <x:c r="AI109" s="12" t="str">
        <x:v>TR-01</x:v>
      </x:c>
      <x:c r="AJ109" s="12" t="str">
        <x:v>TR-08</x:v>
      </x:c>
      <x:c r="AK109" s="12" t="str">
        <x:v>A</x:v>
      </x:c>
      <x:c r="AL109" s="12" t="str">
        <x:v>Caixa TR-01 / Envelope TR-08 / Posição A</x:v>
      </x:c>
      <x:c r="AM109" s="12" t="str">
        <x:v>Sugerida</x:v>
      </x:c>
      <x:c r="AN109" s="12" t="str">
        <x:v>IMG_241F08B5-98C6-4934-AE8D-3628B0CB6BB8.jpeg; IMG_A3E30C52-9BDA-4C0D-8BB4-D5C1CDBAC8F9.jpeg</x:v>
      </x:c>
      <x:c r="AO109" s="12" t="str">
        <x:v>2026-07-01</x:v>
      </x:c>
      <x:c r="AP109" s="12" t="str">
        <x:v>2026-07-19</x:v>
      </x:c>
      <x:c r="AQ109" s="12" t="str">
        <x:v>Alta</x:v>
      </x:c>
      <x:c r="AR109" s="12" t="str">
        <x:v>Histórico de catalogação das turmalinas rosas em 2026-07-01</x:v>
      </x:c>
      <x:c r="AS109" s="12" t="str">
        <x:v>Precificação individual pendente</x:v>
      </x:c>
      <x:c r="AT109" s="12" t="str">
        <x:v>Registro confirmado por imagens e medidas; a resposta original gerou uma ficha visual, sem avaliação textual estruturada.</x:v>
      </x:c>
    </x:row>
    <x:row r="110">
      <x:c r="A110" s="12" t="str">
        <x:v>DG-TR-016</x:v>
      </x:c>
      <x:c r="B110" s="12" t="str"/>
      <x:c r="C110" s="12" t="str">
        <x:v>Tourmaline Collection</x:v>
      </x:c>
      <x:c r="D110" s="12" t="str">
        <x:v>Turmalinas</x:v>
      </x:c>
      <x:c r="E110" s="12" t="str">
        <x:v>Elbaíta</x:v>
      </x:c>
      <x:c r="F110" s="12" t="str">
        <x:v>Turmalina Rosa</x:v>
      </x:c>
      <x:c r="G110" s="12" t="str">
        <x:v>Gema individual</x:v>
      </x:c>
      <x:c r="H110" s="18" t="n">
        <x:v>1</x:v>
      </x:c>
      <x:c r="I110" s="12" t="str">
        <x:v>Redonda / Brilhante</x:v>
      </x:c>
      <x:c r="J110" s="12" t="str">
        <x:v>4 x 4 x 2</x:v>
      </x:c>
      <x:c r="K110" s="14" t="n">
        <x:v>0.155</x:v>
      </x:c>
      <x:c r="L110" s="12" t="str">
        <x:v>Sim</x:v>
      </x:c>
      <x:c r="M110" s="12" t="str">
        <x:v>Balança / informado</x:v>
      </x:c>
      <x:c r="N110" s="12" t="str">
        <x:v>Rosa claro uniforme / pastel</x:v>
      </x:c>
      <x:c r="O110" s="12" t="str">
        <x:v>Transparente</x:v>
      </x:c>
      <x:c r="P110" s="12" t="str">
        <x:v>Não informada</x:v>
      </x:c>
      <x:c r="Q110" s="12" t="str">
        <x:v>Não avaliado / não informado</x:v>
      </x:c>
      <x:c r="R110" s="12" t="str">
        <x:v>Não</x:v>
      </x:c>
      <x:c r="S110" s="12" t="str"/>
      <x:c r="T110" s="12" t="str"/>
      <x:c r="U110" s="20"/>
      <x:c r="V110" s="20" t="n">
        <x:v>120</x:v>
      </x:c>
      <x:c r="W110" s="20" t="n">
        <x:v>220</x:v>
      </x:c>
      <x:c r="X110" s="20" t="n">
        <x:v>280</x:v>
      </x:c>
      <x:c r="Y110" s="20" t="n">
        <x:v>550</x:v>
      </x:c>
      <x:c r="Z110" s="20" t="n">
        <x:v>1500</x:v>
      </x:c>
      <x:c r="AA110" s="20" t="n">
        <x:v>3000</x:v>
      </x:c>
      <x:c r="AB110" s="12" t="str">
        <x:v>Registrado no histórico</x:v>
      </x:c>
      <x:c r="AC110" s="16" t="n">
        <x:v>8.4</x:v>
      </x:c>
      <x:c r="AD110" s="12" t="str">
        <x:v>B+</x:v>
      </x:c>
      <x:c r="AE110" s="12" t="str">
        <x:v>Baixa</x:v>
      </x:c>
      <x:c r="AF110" s="12" t="str">
        <x:v>Anel delicado, brinco ou detalhe</x:v>
      </x:c>
      <x:c r="AG110" s="12" t="str">
        <x:v>Coleção / Joalheria</x:v>
      </x:c>
      <x:c r="AH110" s="12" t="str">
        <x:v>Coleção</x:v>
      </x:c>
      <x:c r="AI110" s="12" t="str">
        <x:v>TR-01</x:v>
      </x:c>
      <x:c r="AJ110" s="12" t="str">
        <x:v>TR-08</x:v>
      </x:c>
      <x:c r="AK110" s="12" t="str">
        <x:v>B</x:v>
      </x:c>
      <x:c r="AL110" s="12" t="str">
        <x:v>Caixa TR-01 / Envelope TR-08 / Posição B</x:v>
      </x:c>
      <x:c r="AM110" s="12" t="str">
        <x:v>Sugerida</x:v>
      </x:c>
      <x:c r="AN110" s="12" t="str">
        <x:v>IMG_EA89DF74-A1A7-4E2B-954D-BA7AD53A077B.jpeg; IMG_F59117FE-89B8-47D3-83AB-2D296121773E.jpeg</x:v>
      </x:c>
      <x:c r="AO110" s="12" t="str">
        <x:v>2026-07-01</x:v>
      </x:c>
      <x:c r="AP110" s="12" t="str">
        <x:v>2026-07-19</x:v>
      </x:c>
      <x:c r="AQ110" s="12" t="str">
        <x:v>Alta</x:v>
      </x:c>
      <x:c r="AR110" s="12" t="str">
        <x:v>Histórico de catalogação das turmalinas rosas em 2026-07-01</x:v>
      </x:c>
      <x:c r="AS110" s="12" t="str"/>
      <x:c r="AT110" s="12" t="str">
        <x:v>Boa simetria; possível pequena janela central pela profundidade reduzida.</x:v>
      </x:c>
    </x:row>
    <x:row r="111">
      <x:c r="A111" s="12" t="str">
        <x:v>DG-TR-017</x:v>
      </x:c>
      <x:c r="B111" s="12" t="str"/>
      <x:c r="C111" s="12" t="str">
        <x:v>Tourmaline Collection</x:v>
      </x:c>
      <x:c r="D111" s="12" t="str">
        <x:v>Turmalinas</x:v>
      </x:c>
      <x:c r="E111" s="12" t="str">
        <x:v>Elbaíta</x:v>
      </x:c>
      <x:c r="F111" s="12" t="str">
        <x:v>Turmalina Rosa</x:v>
      </x:c>
      <x:c r="G111" s="12" t="str">
        <x:v>Gema individual</x:v>
      </x:c>
      <x:c r="H111" s="18" t="n">
        <x:v>1</x:v>
      </x:c>
      <x:c r="I111" s="12" t="str">
        <x:v>Navete / Marquise</x:v>
      </x:c>
      <x:c r="J111" s="12" t="str">
        <x:v>7 x 4 x 2</x:v>
      </x:c>
      <x:c r="K111" s="14" t="n">
        <x:v>0.175</x:v>
      </x:c>
      <x:c r="L111" s="12" t="str">
        <x:v>Sim</x:v>
      </x:c>
      <x:c r="M111" s="12" t="str">
        <x:v>Balança / informado</x:v>
      </x:c>
      <x:c r="N111" s="12" t="str">
        <x:v>Rosa intenso / bubblegum</x:v>
      </x:c>
      <x:c r="O111" s="12" t="str">
        <x:v>Transparente</x:v>
      </x:c>
      <x:c r="P111" s="12" t="str">
        <x:v>Não informada</x:v>
      </x:c>
      <x:c r="Q111" s="12" t="str">
        <x:v>Não avaliado / não informado</x:v>
      </x:c>
      <x:c r="R111" s="12" t="str">
        <x:v>Não</x:v>
      </x:c>
      <x:c r="S111" s="12" t="str"/>
      <x:c r="T111" s="12" t="str"/>
      <x:c r="U111" s="20"/>
      <x:c r="V111" s="20" t="n">
        <x:v>300</x:v>
      </x:c>
      <x:c r="W111" s="20" t="n">
        <x:v>500</x:v>
      </x:c>
      <x:c r="X111" s="20" t="n">
        <x:v>650</x:v>
      </x:c>
      <x:c r="Y111" s="20" t="n">
        <x:v>1100</x:v>
      </x:c>
      <x:c r="Z111" s="20" t="n">
        <x:v>2500</x:v>
      </x:c>
      <x:c r="AA111" s="20" t="n">
        <x:v>4500</x:v>
      </x:c>
      <x:c r="AB111" s="12" t="str">
        <x:v>Registrado no histórico</x:v>
      </x:c>
      <x:c r="AC111" s="16" t="n">
        <x:v>9.2</x:v>
      </x:c>
      <x:c r="AD111" s="12" t="str">
        <x:v>A</x:v>
      </x:c>
      <x:c r="AE111" s="12" t="str">
        <x:v>Média</x:v>
      </x:c>
      <x:c r="AF111" s="12" t="str">
        <x:v>Anel, brinco ou pingente premium delicado</x:v>
      </x:c>
      <x:c r="AG111" s="12" t="str">
        <x:v>Coleção / Joalheria</x:v>
      </x:c>
      <x:c r="AH111" s="12" t="str">
        <x:v>Coleção</x:v>
      </x:c>
      <x:c r="AI111" s="12" t="str">
        <x:v>TR-01</x:v>
      </x:c>
      <x:c r="AJ111" s="12" t="str">
        <x:v>TR-09</x:v>
      </x:c>
      <x:c r="AK111" s="12" t="str">
        <x:v>A</x:v>
      </x:c>
      <x:c r="AL111" s="12" t="str">
        <x:v>Caixa TR-01 / Envelope TR-09 / Posição A</x:v>
      </x:c>
      <x:c r="AM111" s="12" t="str">
        <x:v>Sugerida</x:v>
      </x:c>
      <x:c r="AN111" s="12" t="str">
        <x:v>IMG_C5C9600D-0C4B-4983-BEB1-63A4C0588871.jpeg</x:v>
      </x:c>
      <x:c r="AO111" s="12" t="str">
        <x:v>2026-07-01</x:v>
      </x:c>
      <x:c r="AP111" s="12" t="str">
        <x:v>2026-07-19</x:v>
      </x:c>
      <x:c r="AQ111" s="12" t="str">
        <x:v>Alta</x:v>
      </x:c>
      <x:c r="AR111" s="12" t="str">
        <x:v>Histórico de catalogação das turmalinas rosas em 2026-07-01</x:v>
      </x:c>
      <x:c r="AS111" s="12" t="str">
        <x:v>Avaliar certificação</x:v>
      </x:c>
      <x:c r="AT111" s="12" t="str">
        <x:v>Excelente saturação e retorno de luz para o peso.</x:v>
      </x:c>
    </x:row>
    <x:row r="112">
      <x:c r="A112" s="12" t="str">
        <x:v>DG-TR-018</x:v>
      </x:c>
      <x:c r="B112" s="12" t="str"/>
      <x:c r="C112" s="12" t="str">
        <x:v>Tourmaline Collection</x:v>
      </x:c>
      <x:c r="D112" s="12" t="str">
        <x:v>Turmalinas</x:v>
      </x:c>
      <x:c r="E112" s="12" t="str">
        <x:v>Elbaíta</x:v>
      </x:c>
      <x:c r="F112" s="12" t="str">
        <x:v>Turmalina Rosa</x:v>
      </x:c>
      <x:c r="G112" s="12" t="str">
        <x:v>Gema individual</x:v>
      </x:c>
      <x:c r="H112" s="18" t="n">
        <x:v>1</x:v>
      </x:c>
      <x:c r="I112" s="12" t="str">
        <x:v>Navete / Marquise</x:v>
      </x:c>
      <x:c r="J112" s="12" t="str">
        <x:v>7 x 4 x 2</x:v>
      </x:c>
      <x:c r="K112" s="14" t="n">
        <x:v>0.175</x:v>
      </x:c>
      <x:c r="L112" s="12" t="str">
        <x:v>Sim</x:v>
      </x:c>
      <x:c r="M112" s="12" t="str">
        <x:v>Balança / informado</x:v>
      </x:c>
      <x:c r="N112" s="12" t="str">
        <x:v>Rosa intenso e homogêneo</x:v>
      </x:c>
      <x:c r="O112" s="12" t="str">
        <x:v>Transparente</x:v>
      </x:c>
      <x:c r="P112" s="12" t="str">
        <x:v>Não informada</x:v>
      </x:c>
      <x:c r="Q112" s="12" t="str">
        <x:v>Não avaliado / não informado</x:v>
      </x:c>
      <x:c r="R112" s="12" t="str">
        <x:v>Não</x:v>
      </x:c>
      <x:c r="S112" s="12" t="str"/>
      <x:c r="T112" s="12" t="str"/>
      <x:c r="U112" s="20"/>
      <x:c r="V112" s="20"/>
      <x:c r="W112" s="20"/>
      <x:c r="X112" s="20"/>
      <x:c r="Y112" s="20"/>
      <x:c r="Z112" s="20"/>
      <x:c r="AA112" s="20"/>
      <x:c r="AB112" s="12" t="str">
        <x:v>Pendente de precificação individual</x:v>
      </x:c>
      <x:c r="AC112" s="16" t="n">
        <x:v>9.3</x:v>
      </x:c>
      <x:c r="AD112" s="12" t="str">
        <x:v>A</x:v>
      </x:c>
      <x:c r="AE112" s="12" t="str">
        <x:v>Média</x:v>
      </x:c>
      <x:c r="AF112" s="12" t="str">
        <x:v>Par visual com DG-TR-017 / joia premium</x:v>
      </x:c>
      <x:c r="AG112" s="12" t="str">
        <x:v>Coleção / Joalheria</x:v>
      </x:c>
      <x:c r="AH112" s="12" t="str">
        <x:v>Coleção</x:v>
      </x:c>
      <x:c r="AI112" s="12" t="str">
        <x:v>TR-01</x:v>
      </x:c>
      <x:c r="AJ112" s="12" t="str">
        <x:v>TR-09</x:v>
      </x:c>
      <x:c r="AK112" s="12" t="str">
        <x:v>B</x:v>
      </x:c>
      <x:c r="AL112" s="12" t="str">
        <x:v>Caixa TR-01 / Envelope TR-09 / Posição B</x:v>
      </x:c>
      <x:c r="AM112" s="12" t="str">
        <x:v>Sugerida</x:v>
      </x:c>
      <x:c r="AN112" s="12" t="str">
        <x:v>IMG_ACCA8D7D-3DFD-418F-910C-5A4257A09779.jpeg</x:v>
      </x:c>
      <x:c r="AO112" s="12" t="str">
        <x:v>2026-07-01</x:v>
      </x:c>
      <x:c r="AP112" s="12" t="str">
        <x:v>2026-07-19</x:v>
      </x:c>
      <x:c r="AQ112" s="12" t="str">
        <x:v>Alta</x:v>
      </x:c>
      <x:c r="AR112" s="12" t="str">
        <x:v>Histórico de catalogação das turmalinas rosas em 2026-07-01</x:v>
      </x:c>
      <x:c r="AS112" s="12" t="str">
        <x:v>Avaliar certificação; Precificação individual pendente</x:v>
      </x:c>
      <x:c r="AT112" s="12" t="str">
        <x:v>Pedra distinta da DG-TR-017, apesar do mesmo peso e medidas; faixa de valor individual não foi formalizada no histórico.</x:v>
      </x:c>
    </x:row>
    <x:row r="113">
      <x:c r="A113" s="12" t="str">
        <x:v>DG-TR-019</x:v>
      </x:c>
      <x:c r="B113" s="12" t="str"/>
      <x:c r="C113" s="12" t="str">
        <x:v>Tourmaline Collection</x:v>
      </x:c>
      <x:c r="D113" s="12" t="str">
        <x:v>Turmalinas</x:v>
      </x:c>
      <x:c r="E113" s="12" t="str">
        <x:v>Elbaíta</x:v>
      </x:c>
      <x:c r="F113" s="12" t="str">
        <x:v>Turmalina Rosa</x:v>
      </x:c>
      <x:c r="G113" s="12" t="str">
        <x:v>Gema individual</x:v>
      </x:c>
      <x:c r="H113" s="18" t="n">
        <x:v>1</x:v>
      </x:c>
      <x:c r="I113" s="12" t="str">
        <x:v>Navete / Marquise alongada</x:v>
      </x:c>
      <x:c r="J113" s="12" t="str">
        <x:v>12 x 4 x 2</x:v>
      </x:c>
      <x:c r="K113" s="14" t="n">
        <x:v>0.315</x:v>
      </x:c>
      <x:c r="L113" s="12" t="str">
        <x:v>Sim</x:v>
      </x:c>
      <x:c r="M113" s="12" t="str">
        <x:v>Balança / informado</x:v>
      </x:c>
      <x:c r="N113" s="12" t="str">
        <x:v>Rosa claro a médio</x:v>
      </x:c>
      <x:c r="O113" s="12" t="str">
        <x:v>Transparente</x:v>
      </x:c>
      <x:c r="P113" s="12" t="str">
        <x:v>Não informada</x:v>
      </x:c>
      <x:c r="Q113" s="12" t="str">
        <x:v>Não avaliado / não informado</x:v>
      </x:c>
      <x:c r="R113" s="12" t="str">
        <x:v>Não</x:v>
      </x:c>
      <x:c r="S113" s="12" t="str"/>
      <x:c r="T113" s="12" t="str"/>
      <x:c r="U113" s="20"/>
      <x:c r="V113" s="20" t="n">
        <x:v>280</x:v>
      </x:c>
      <x:c r="W113" s="20" t="n">
        <x:v>500</x:v>
      </x:c>
      <x:c r="X113" s="20" t="n">
        <x:v>700</x:v>
      </x:c>
      <x:c r="Y113" s="20" t="n">
        <x:v>1300</x:v>
      </x:c>
      <x:c r="Z113" s="20" t="n">
        <x:v>3000</x:v>
      </x:c>
      <x:c r="AA113" s="20" t="n">
        <x:v>6000</x:v>
      </x:c>
      <x:c r="AB113" s="12" t="str">
        <x:v>Registrado no histórico</x:v>
      </x:c>
      <x:c r="AC113" s="16" t="n">
        <x:v>8.9</x:v>
      </x:c>
      <x:c r="AD113" s="12" t="str">
        <x:v>A-</x:v>
      </x:c>
      <x:c r="AE113" s="12" t="str">
        <x:v>Média</x:v>
      </x:c>
      <x:c r="AF113" s="12" t="str">
        <x:v>Pingente vertical, anel ou broche</x:v>
      </x:c>
      <x:c r="AG113" s="12" t="str">
        <x:v>Coleção / Joalheria</x:v>
      </x:c>
      <x:c r="AH113" s="12" t="str">
        <x:v>Coleção</x:v>
      </x:c>
      <x:c r="AI113" s="12" t="str">
        <x:v>TR-01</x:v>
      </x:c>
      <x:c r="AJ113" s="12" t="str">
        <x:v>TR-10</x:v>
      </x:c>
      <x:c r="AK113" s="12" t="str">
        <x:v>A</x:v>
      </x:c>
      <x:c r="AL113" s="12" t="str">
        <x:v>Caixa TR-01 / Envelope TR-10 / Posição A</x:v>
      </x:c>
      <x:c r="AM113" s="12" t="str">
        <x:v>Sugerida</x:v>
      </x:c>
      <x:c r="AN113" s="12" t="str">
        <x:v>IMG_4556D5E3-FEEF-42F1-95CD-F85C246AAB35.jpeg</x:v>
      </x:c>
      <x:c r="AO113" s="12" t="str">
        <x:v>2026-07-01</x:v>
      </x:c>
      <x:c r="AP113" s="12" t="str">
        <x:v>2026-07-19</x:v>
      </x:c>
      <x:c r="AQ113" s="12" t="str">
        <x:v>Alta</x:v>
      </x:c>
      <x:c r="AR113" s="12" t="str">
        <x:v>Histórico de catalogação das turmalinas rosas em 2026-07-01</x:v>
      </x:c>
      <x:c r="AS113" s="12" t="str">
        <x:v>Avaliar certificação</x:v>
      </x:c>
      <x:c r="AT113" s="12" t="str">
        <x:v>Formato longo; inclusão alaranjada evidente próxima a uma extremidade.</x:v>
      </x:c>
    </x:row>
    <x:row r="114">
      <x:c r="A114" s="12" t="str">
        <x:v>DG-TR-020</x:v>
      </x:c>
      <x:c r="B114" s="12" t="str"/>
      <x:c r="C114" s="12" t="str">
        <x:v>Tourmaline Collection</x:v>
      </x:c>
      <x:c r="D114" s="12" t="str">
        <x:v>Turmalinas</x:v>
      </x:c>
      <x:c r="E114" s="12" t="str">
        <x:v>Elbaíta</x:v>
      </x:c>
      <x:c r="F114" s="12" t="str">
        <x:v>Turmalina Rosa</x:v>
      </x:c>
      <x:c r="G114" s="12" t="str">
        <x:v>Gema individual</x:v>
      </x:c>
      <x:c r="H114" s="18" t="n">
        <x:v>1</x:v>
      </x:c>
      <x:c r="I114" s="12" t="str">
        <x:v>Navete / Marquise muito alongada</x:v>
      </x:c>
      <x:c r="J114" s="12" t="str">
        <x:v>13 x 3,5 x 1,5</x:v>
      </x:c>
      <x:c r="K114" s="14" t="n">
        <x:v>0.29</x:v>
      </x:c>
      <x:c r="L114" s="12" t="str">
        <x:v>Sim</x:v>
      </x:c>
      <x:c r="M114" s="12" t="str">
        <x:v>Balança / informado</x:v>
      </x:c>
      <x:c r="N114" s="12" t="str">
        <x:v>Rosa claro delicado</x:v>
      </x:c>
      <x:c r="O114" s="12" t="str">
        <x:v>Transparente</x:v>
      </x:c>
      <x:c r="P114" s="12" t="str">
        <x:v>Não informada</x:v>
      </x:c>
      <x:c r="Q114" s="12" t="str">
        <x:v>Não avaliado / não informado</x:v>
      </x:c>
      <x:c r="R114" s="12" t="str">
        <x:v>Não</x:v>
      </x:c>
      <x:c r="S114" s="12" t="str"/>
      <x:c r="T114" s="12" t="str"/>
      <x:c r="U114" s="20"/>
      <x:c r="V114" s="20" t="n">
        <x:v>250</x:v>
      </x:c>
      <x:c r="W114" s="20" t="n">
        <x:v>450</x:v>
      </x:c>
      <x:c r="X114" s="20" t="n">
        <x:v>650</x:v>
      </x:c>
      <x:c r="Y114" s="20" t="n">
        <x:v>1200</x:v>
      </x:c>
      <x:c r="Z114" s="20" t="n">
        <x:v>3000</x:v>
      </x:c>
      <x:c r="AA114" s="20" t="n">
        <x:v>5500</x:v>
      </x:c>
      <x:c r="AB114" s="12" t="str">
        <x:v>Registrado no histórico</x:v>
      </x:c>
      <x:c r="AC114" s="16" t="n">
        <x:v>8.9</x:v>
      </x:c>
      <x:c r="AD114" s="12" t="str">
        <x:v>A-</x:v>
      </x:c>
      <x:c r="AE114" s="12" t="str">
        <x:v>Média</x:v>
      </x:c>
      <x:c r="AF114" s="12" t="str">
        <x:v>Pingente vertical ou anel minimalista</x:v>
      </x:c>
      <x:c r="AG114" s="12" t="str">
        <x:v>Coleção / Joalheria</x:v>
      </x:c>
      <x:c r="AH114" s="12" t="str">
        <x:v>Coleção</x:v>
      </x:c>
      <x:c r="AI114" s="12" t="str">
        <x:v>TR-01</x:v>
      </x:c>
      <x:c r="AJ114" s="12" t="str">
        <x:v>TR-10</x:v>
      </x:c>
      <x:c r="AK114" s="12" t="str">
        <x:v>B</x:v>
      </x:c>
      <x:c r="AL114" s="12" t="str">
        <x:v>Caixa TR-01 / Envelope TR-10 / Posição B</x:v>
      </x:c>
      <x:c r="AM114" s="12" t="str">
        <x:v>Sugerida</x:v>
      </x:c>
      <x:c r="AN114" s="12" t="str">
        <x:v>IMG_C96CA730-5E9C-4032-8FBD-14ECD44F8357.jpeg</x:v>
      </x:c>
      <x:c r="AO114" s="12" t="str">
        <x:v>2026-07-01</x:v>
      </x:c>
      <x:c r="AP114" s="12" t="str">
        <x:v>2026-07-19</x:v>
      </x:c>
      <x:c r="AQ114" s="12" t="str">
        <x:v>Alta</x:v>
      </x:c>
      <x:c r="AR114" s="12" t="str">
        <x:v>Histórico de catalogação das turmalinas rosas em 2026-07-01</x:v>
      </x:c>
      <x:c r="AS114" s="12" t="str">
        <x:v>Avaliar certificação</x:v>
      </x:c>
      <x:c r="AT114" s="12" t="str">
        <x:v>Extremamente rasa e elegante; possível janela grande, mas formato raro.</x:v>
      </x:c>
    </x:row>
    <x:row r="115">
      <x:c r="A115" s="12" t="str">
        <x:v>DG-TR-021</x:v>
      </x:c>
      <x:c r="B115" s="12" t="str"/>
      <x:c r="C115" s="12" t="str">
        <x:v>Tourmaline Collection</x:v>
      </x:c>
      <x:c r="D115" s="12" t="str">
        <x:v>Turmalinas</x:v>
      </x:c>
      <x:c r="E115" s="12" t="str">
        <x:v>Elbaíta</x:v>
      </x:c>
      <x:c r="F115" s="12" t="str">
        <x:v>Turmalina Rosa</x:v>
      </x:c>
      <x:c r="G115" s="12" t="str">
        <x:v>Gema individual</x:v>
      </x:c>
      <x:c r="H115" s="18" t="n">
        <x:v>1</x:v>
      </x:c>
      <x:c r="I115" s="12" t="str">
        <x:v>Navete / Marquise</x:v>
      </x:c>
      <x:c r="J115" s="12" t="str">
        <x:v>6 x 3 x 2</x:v>
      </x:c>
      <x:c r="K115" s="14" t="n">
        <x:v>0.195</x:v>
      </x:c>
      <x:c r="L115" s="12" t="str">
        <x:v>Sim</x:v>
      </x:c>
      <x:c r="M115" s="12" t="str">
        <x:v>Balança / informado</x:v>
      </x:c>
      <x:c r="N115" s="12" t="str">
        <x:v>Rosa muito suave / pastel</x:v>
      </x:c>
      <x:c r="O115" s="12" t="str">
        <x:v>Transparente</x:v>
      </x:c>
      <x:c r="P115" s="12" t="str">
        <x:v>Não informada</x:v>
      </x:c>
      <x:c r="Q115" s="12" t="str">
        <x:v>Não avaliado / não informado</x:v>
      </x:c>
      <x:c r="R115" s="12" t="str">
        <x:v>Não</x:v>
      </x:c>
      <x:c r="S115" s="12" t="str"/>
      <x:c r="T115" s="12" t="str"/>
      <x:c r="U115" s="20"/>
      <x:c r="V115" s="20" t="n">
        <x:v>150</x:v>
      </x:c>
      <x:c r="W115" s="20" t="n">
        <x:v>300</x:v>
      </x:c>
      <x:c r="X115" s="20" t="n">
        <x:v>400</x:v>
      </x:c>
      <x:c r="Y115" s="20" t="n">
        <x:v>800</x:v>
      </x:c>
      <x:c r="Z115" s="20" t="n">
        <x:v>1800</x:v>
      </x:c>
      <x:c r="AA115" s="20" t="n">
        <x:v>3500</x:v>
      </x:c>
      <x:c r="AB115" s="12" t="str">
        <x:v>Registrado no histórico</x:v>
      </x:c>
      <x:c r="AC115" s="16" t="n">
        <x:v>8.4</x:v>
      </x:c>
      <x:c r="AD115" s="12" t="str">
        <x:v>B+</x:v>
      </x:c>
      <x:c r="AE115" s="12" t="str">
        <x:v>Baixa</x:v>
      </x:c>
      <x:c r="AF115" s="12" t="str">
        <x:v>Brinco, anel ou pingente delicado</x:v>
      </x:c>
      <x:c r="AG115" s="12" t="str">
        <x:v>Coleção / Joalheria</x:v>
      </x:c>
      <x:c r="AH115" s="12" t="str">
        <x:v>Coleção</x:v>
      </x:c>
      <x:c r="AI115" s="12" t="str">
        <x:v>TR-01</x:v>
      </x:c>
      <x:c r="AJ115" s="12" t="str">
        <x:v>TR-11</x:v>
      </x:c>
      <x:c r="AK115" s="12" t="str">
        <x:v>A</x:v>
      </x:c>
      <x:c r="AL115" s="12" t="str">
        <x:v>Caixa TR-01 / Envelope TR-11 / Posição A</x:v>
      </x:c>
      <x:c r="AM115" s="12" t="str">
        <x:v>Sugerida</x:v>
      </x:c>
      <x:c r="AN115" s="12" t="str">
        <x:v>IMG_F04AA8B9-A6EA-4BE6-9DF9-871D7348E258.jpeg</x:v>
      </x:c>
      <x:c r="AO115" s="12" t="str">
        <x:v>2026-07-01</x:v>
      </x:c>
      <x:c r="AP115" s="12" t="str">
        <x:v>2026-07-19</x:v>
      </x:c>
      <x:c r="AQ115" s="12" t="str">
        <x:v>Alta</x:v>
      </x:c>
      <x:c r="AR115" s="12" t="str">
        <x:v>Histórico de catalogação das turmalinas rosas em 2026-07-01</x:v>
      </x:c>
      <x:c r="AS115" s="12" t="str"/>
      <x:c r="AT115" s="12" t="str">
        <x:v>Inclusões internas e plumas perceptíveis; brilho moderado.</x:v>
      </x:c>
    </x:row>
    <x:row r="116">
      <x:c r="A116" s="12" t="str">
        <x:v>DG-TR-022</x:v>
      </x:c>
      <x:c r="B116" s="12" t="str"/>
      <x:c r="C116" s="12" t="str">
        <x:v>Tourmaline Collection</x:v>
      </x:c>
      <x:c r="D116" s="12" t="str">
        <x:v>Turmalinas</x:v>
      </x:c>
      <x:c r="E116" s="12" t="str">
        <x:v>Elbaíta</x:v>
      </x:c>
      <x:c r="F116" s="12" t="str">
        <x:v>Turmalina Rosa</x:v>
      </x:c>
      <x:c r="G116" s="12" t="str">
        <x:v>Gema individual</x:v>
      </x:c>
      <x:c r="H116" s="18" t="n">
        <x:v>1</x:v>
      </x:c>
      <x:c r="I116" s="12" t="str">
        <x:v>Gota / Pêra</x:v>
      </x:c>
      <x:c r="J116" s="12" t="str">
        <x:v>6 x 4 x 2,5</x:v>
      </x:c>
      <x:c r="K116" s="14" t="n">
        <x:v>0.165</x:v>
      </x:c>
      <x:c r="L116" s="12" t="str">
        <x:v>Sim</x:v>
      </x:c>
      <x:c r="M116" s="12" t="str">
        <x:v>Balança / informado</x:v>
      </x:c>
      <x:c r="N116" s="12" t="str">
        <x:v>Rosa pêssego</x:v>
      </x:c>
      <x:c r="O116" s="12" t="str">
        <x:v>Transparente</x:v>
      </x:c>
      <x:c r="P116" s="12" t="str">
        <x:v>Não informada</x:v>
      </x:c>
      <x:c r="Q116" s="12" t="str">
        <x:v>Não avaliado / não informado</x:v>
      </x:c>
      <x:c r="R116" s="12" t="str">
        <x:v>Não</x:v>
      </x:c>
      <x:c r="S116" s="12" t="str"/>
      <x:c r="T116" s="12" t="str"/>
      <x:c r="U116" s="20"/>
      <x:c r="V116" s="20" t="n">
        <x:v>220</x:v>
      </x:c>
      <x:c r="W116" s="20" t="n">
        <x:v>420</x:v>
      </x:c>
      <x:c r="X116" s="20" t="n">
        <x:v>600</x:v>
      </x:c>
      <x:c r="Y116" s="20" t="n">
        <x:v>1100</x:v>
      </x:c>
      <x:c r="Z116" s="20" t="n">
        <x:v>2000</x:v>
      </x:c>
      <x:c r="AA116" s="20" t="n">
        <x:v>4000</x:v>
      </x:c>
      <x:c r="AB116" s="12" t="str">
        <x:v>Registrado no histórico</x:v>
      </x:c>
      <x:c r="AC116" s="16" t="n">
        <x:v>8.7</x:v>
      </x:c>
      <x:c r="AD116" s="12" t="str">
        <x:v>A-</x:v>
      </x:c>
      <x:c r="AE116" s="12" t="str">
        <x:v>Baixa</x:v>
      </x:c>
      <x:c r="AF116" s="12" t="str">
        <x:v>Pingente delicado, brinco ou anel pequeno</x:v>
      </x:c>
      <x:c r="AG116" s="12" t="str">
        <x:v>Coleção / Joalheria</x:v>
      </x:c>
      <x:c r="AH116" s="12" t="str">
        <x:v>Coleção</x:v>
      </x:c>
      <x:c r="AI116" s="12" t="str">
        <x:v>TR-01</x:v>
      </x:c>
      <x:c r="AJ116" s="12" t="str">
        <x:v>TR-11</x:v>
      </x:c>
      <x:c r="AK116" s="12" t="str">
        <x:v>B</x:v>
      </x:c>
      <x:c r="AL116" s="12" t="str">
        <x:v>Caixa TR-01 / Envelope TR-11 / Posição B</x:v>
      </x:c>
      <x:c r="AM116" s="12" t="str">
        <x:v>Sugerida</x:v>
      </x:c>
      <x:c r="AN116" s="12" t="str">
        <x:v>IMG_C72CFF49-D343-4154-AE62-0AF38C9801F2.jpeg</x:v>
      </x:c>
      <x:c r="AO116" s="12" t="str">
        <x:v>2026-07-01</x:v>
      </x:c>
      <x:c r="AP116" s="12" t="str">
        <x:v>2026-07-19</x:v>
      </x:c>
      <x:c r="AQ116" s="12" t="str">
        <x:v>Alta</x:v>
      </x:c>
      <x:c r="AR116" s="12" t="str">
        <x:v>Histórico de catalogação das turmalinas rosas em 2026-07-01</x:v>
      </x:c>
      <x:c r="AS116" s="12" t="str"/>
      <x:c r="AT116" s="12" t="str">
        <x:v>Cor suave e uniforme, boa transparência e lapidação equilibrada.</x:v>
      </x:c>
    </x:row>
    <x:row r="117">
      <x:c r="A117" s="12" t="str">
        <x:v>DG-TR-023</x:v>
      </x:c>
      <x:c r="B117" s="12" t="str">
        <x:v>DG-TR-001 (master de 01/07/2026)</x:v>
      </x:c>
      <x:c r="C117" s="12" t="str">
        <x:v>Tourmaline Collection</x:v>
      </x:c>
      <x:c r="D117" s="12" t="str">
        <x:v>Turmalinas</x:v>
      </x:c>
      <x:c r="E117" s="12" t="str">
        <x:v>Elbaíta</x:v>
      </x:c>
      <x:c r="F117" s="12" t="str">
        <x:v>Turmalina Rosa</x:v>
      </x:c>
      <x:c r="G117" s="12" t="str">
        <x:v>Gema individual</x:v>
      </x:c>
      <x:c r="H117" s="18" t="n">
        <x:v>1</x:v>
      </x:c>
      <x:c r="I117" s="12" t="str">
        <x:v>Coração</x:v>
      </x:c>
      <x:c r="J117" s="12" t="str">
        <x:v>11.2 x 9.6</x:v>
      </x:c>
      <x:c r="K117" s="14" t="n">
        <x:v>3.72</x:v>
      </x:c>
      <x:c r="L117" s="12" t="str">
        <x:v>Sim</x:v>
      </x:c>
      <x:c r="M117" s="12" t="str">
        <x:v>Fornecedor</x:v>
      </x:c>
      <x:c r="N117" s="12" t="str">
        <x:v>Rosa intenso</x:v>
      </x:c>
      <x:c r="O117" s="12" t="str">
        <x:v>Transparente</x:v>
      </x:c>
      <x:c r="P117" s="12" t="str">
        <x:v>Brasil</x:v>
      </x:c>
      <x:c r="Q117" s="12" t="str">
        <x:v>Não avaliado / não informado</x:v>
      </x:c>
      <x:c r="R117" s="12" t="str">
        <x:v>Não</x:v>
      </x:c>
      <x:c r="S117" s="12" t="str"/>
      <x:c r="T117" s="12" t="str"/>
      <x:c r="U117" s="20" t="n">
        <x:v>1129</x:v>
      </x:c>
      <x:c r="V117" s="20" t="n">
        <x:v>2800</x:v>
      </x:c>
      <x:c r="W117" s="20" t="n">
        <x:v>4200</x:v>
      </x:c>
      <x:c r="X117" s="20" t="n">
        <x:v>2800</x:v>
      </x:c>
      <x:c r="Y117" s="20" t="n">
        <x:v>4200</x:v>
      </x:c>
      <x:c r="Z117" s="20" t="n">
        <x:v>8000</x:v>
      </x:c>
      <x:c r="AA117" s="20" t="n">
        <x:v>16000</x:v>
      </x:c>
      <x:c r="AB117" s="12" t="str">
        <x:v>Registrado no histórico</x:v>
      </x:c>
      <x:c r="AC117" s="16" t="n">
        <x:v>9</x:v>
      </x:c>
      <x:c r="AD117" s="12" t="str">
        <x:v>A</x:v>
      </x:c>
      <x:c r="AE117" s="12" t="str">
        <x:v>Média</x:v>
      </x:c>
      <x:c r="AF117" s="12" t="str">
        <x:v>Anel de destaque / pingente coração</x:v>
      </x:c>
      <x:c r="AG117" s="12" t="str">
        <x:v>Anel de destaque / pingente coração</x:v>
      </x:c>
      <x:c r="AH117" s="12" t="str">
        <x:v>Coleção</x:v>
      </x:c>
      <x:c r="AI117" s="12" t="str"/>
      <x:c r="AJ117" s="12" t="str"/>
      <x:c r="AK117" s="12" t="str"/>
      <x:c r="AL117" s="12" t="str"/>
      <x:c r="AM117" s="12" t="str">
        <x:v>Não informado</x:v>
      </x:c>
      <x:c r="AN117" s="12" t="str"/>
      <x:c r="AO117" s="12" t="str">
        <x:v>2026-07-01</x:v>
      </x:c>
      <x:c r="AP117" s="12" t="str">
        <x:v>2026-07-19</x:v>
      </x:c>
      <x:c r="AQ117" s="12" t="str">
        <x:v>Alta</x:v>
      </x:c>
      <x:c r="AR117" s="12" t="str">
        <x:v>Inventário mestre completo atualizado em 2026-07-01</x:v>
      </x:c>
      <x:c r="AS117" s="12" t="str">
        <x:v>Avaliar certificação</x:v>
      </x:c>
      <x:c r="AT117" s="12" t="str">
        <x:v>Código renumerado para DG-TR-023 para preservar a sequência oficial DG-TR-001 a DG-TR-022 das turmalinas rosas pequenas, sem perder o código legado.</x:v>
      </x:c>
    </x:row>
    <x:row r="118">
      <x:c r="A118" s="12" t="str">
        <x:v>DG-RB-001</x:v>
      </x:c>
      <x:c r="B118" s="12" t="str"/>
      <x:c r="C118" s="12" t="str">
        <x:v>Ruby/Corundum Collection</x:v>
      </x:c>
      <x:c r="D118" s="12" t="str">
        <x:v>Coríndons</x:v>
      </x:c>
      <x:c r="E118" s="12" t="str">
        <x:v>Coríndon</x:v>
      </x:c>
      <x:c r="F118" s="12" t="str">
        <x:v>Rubi brasileiro provisório</x:v>
      </x:c>
      <x:c r="G118" s="12" t="str">
        <x:v>Gema individual</x:v>
      </x:c>
      <x:c r="H118" s="18" t="n">
        <x:v>1</x:v>
      </x:c>
      <x:c r="I118" s="12" t="str">
        <x:v>Cushion</x:v>
      </x:c>
      <x:c r="J118" s="12" t="str">
        <x:v>12 x 10 x 5</x:v>
      </x:c>
      <x:c r="K118" s="14" t="n">
        <x:v>7.13</x:v>
      </x:c>
      <x:c r="L118" s="12" t="str">
        <x:v>Sim</x:v>
      </x:c>
      <x:c r="M118" s="12" t="str">
        <x:v>Balança / informado</x:v>
      </x:c>
      <x:c r="N118" s="12" t="str">
        <x:v>Rosa avermelhado</x:v>
      </x:c>
      <x:c r="O118" s="12" t="str">
        <x:v>Translúcida</x:v>
      </x:c>
      <x:c r="P118" s="12" t="str">
        <x:v>Bahia</x:v>
      </x:c>
      <x:c r="Q118" s="12" t="str">
        <x:v>Não avaliado / não informado</x:v>
      </x:c>
      <x:c r="R118" s="12" t="str">
        <x:v>Não</x:v>
      </x:c>
      <x:c r="S118" s="12" t="str"/>
      <x:c r="T118" s="12" t="str"/>
      <x:c r="U118" s="20"/>
      <x:c r="V118" s="20"/>
      <x:c r="W118" s="20"/>
      <x:c r="X118" s="20"/>
      <x:c r="Y118" s="20"/>
      <x:c r="Z118" s="20"/>
      <x:c r="AA118" s="20"/>
      <x:c r="AB118" s="12" t="str">
        <x:v>Pendente de precificação individual</x:v>
      </x:c>
      <x:c r="AC118" s="16" t="n">
        <x:v>5.5</x:v>
      </x:c>
      <x:c r="AD118" s="12" t="str">
        <x:v>C</x:v>
      </x:c>
      <x:c r="AE118" s="12" t="str">
        <x:v>Média</x:v>
      </x:c>
      <x:c r="AF118" s="12" t="str">
        <x:v>Anel, pingente ou joia comercial</x:v>
      </x:c>
      <x:c r="AG118" s="12" t="str">
        <x:v>Anel, pingente ou joia comercial</x:v>
      </x:c>
      <x:c r="AH118" s="12" t="str">
        <x:v>Coleção</x:v>
      </x:c>
      <x:c r="AI118" s="12" t="str"/>
      <x:c r="AJ118" s="12" t="str"/>
      <x:c r="AK118" s="12" t="str"/>
      <x:c r="AL118" s="12" t="str"/>
      <x:c r="AM118" s="12" t="str">
        <x:v>Não informado</x:v>
      </x:c>
      <x:c r="AN118" s="12" t="str"/>
      <x:c r="AO118" s="12" t="str">
        <x:v>2026-07-01</x:v>
      </x:c>
      <x:c r="AP118" s="12" t="str">
        <x:v>2026-07-19</x:v>
      </x:c>
      <x:c r="AQ118" s="12" t="str">
        <x:v>Alta</x:v>
      </x:c>
      <x:c r="AR118" s="12" t="str">
        <x:v>Inventário mestre completo atualizado em 2026-07-01</x:v>
      </x:c>
      <x:c r="AS118" s="12" t="str">
        <x:v>Confirmar identificação em laboratório; Avaliar certificação; Precificação individual pendente</x:v>
      </x:c>
      <x:c r="AT118" s="12" t="str">
        <x:v>Identificação visual; lote total comprado por R$1.100; confirmar em laboratório. Peso oficial atualizado: 7.130 ct.</x:v>
      </x:c>
    </x:row>
    <x:row r="119">
      <x:c r="A119" s="12" t="str">
        <x:v>DG-RB-002</x:v>
      </x:c>
      <x:c r="B119" s="12" t="str"/>
      <x:c r="C119" s="12" t="str">
        <x:v>Ruby/Corundum Collection</x:v>
      </x:c>
      <x:c r="D119" s="12" t="str">
        <x:v>Coríndons</x:v>
      </x:c>
      <x:c r="E119" s="12" t="str">
        <x:v>Coríndon</x:v>
      </x:c>
      <x:c r="F119" s="12" t="str">
        <x:v>Rubi brasileiro provisório</x:v>
      </x:c>
      <x:c r="G119" s="12" t="str">
        <x:v>Gema individual</x:v>
      </x:c>
      <x:c r="H119" s="18" t="n">
        <x:v>1</x:v>
      </x:c>
      <x:c r="I119" s="12" t="str">
        <x:v>Octogonal/Emerald Cut</x:v>
      </x:c>
      <x:c r="J119" s="12" t="str">
        <x:v>12 x 9 x 5</x:v>
      </x:c>
      <x:c r="K119" s="14" t="n">
        <x:v>5</x:v>
      </x:c>
      <x:c r="L119" s="12" t="str">
        <x:v>Sim</x:v>
      </x:c>
      <x:c r="M119" s="12" t="str">
        <x:v>Balança / informado</x:v>
      </x:c>
      <x:c r="N119" s="12" t="str">
        <x:v>Rosa avermelhado</x:v>
      </x:c>
      <x:c r="O119" s="12" t="str">
        <x:v>Translúcida</x:v>
      </x:c>
      <x:c r="P119" s="12" t="str">
        <x:v>Bahia</x:v>
      </x:c>
      <x:c r="Q119" s="12" t="str">
        <x:v>Não avaliado / não informado</x:v>
      </x:c>
      <x:c r="R119" s="12" t="str">
        <x:v>Não</x:v>
      </x:c>
      <x:c r="S119" s="12" t="str"/>
      <x:c r="T119" s="12" t="str"/>
      <x:c r="U119" s="20"/>
      <x:c r="V119" s="20"/>
      <x:c r="W119" s="20"/>
      <x:c r="X119" s="20"/>
      <x:c r="Y119" s="20"/>
      <x:c r="Z119" s="20"/>
      <x:c r="AA119" s="20"/>
      <x:c r="AB119" s="12" t="str">
        <x:v>Pendente de precificação individual</x:v>
      </x:c>
      <x:c r="AC119" s="16" t="n">
        <x:v>6.5</x:v>
      </x:c>
      <x:c r="AD119" s="12" t="str">
        <x:v>B/C</x:v>
      </x:c>
      <x:c r="AE119" s="12" t="str">
        <x:v>Média</x:v>
      </x:c>
      <x:c r="AF119" s="12" t="str">
        <x:v>Anel, pingente ou joia comercial</x:v>
      </x:c>
      <x:c r="AG119" s="12" t="str">
        <x:v>Anel, pingente ou joia comercial</x:v>
      </x:c>
      <x:c r="AH119" s="12" t="str">
        <x:v>Coleção</x:v>
      </x:c>
      <x:c r="AI119" s="12" t="str"/>
      <x:c r="AJ119" s="12" t="str"/>
      <x:c r="AK119" s="12" t="str"/>
      <x:c r="AL119" s="12" t="str"/>
      <x:c r="AM119" s="12" t="str">
        <x:v>Não informado</x:v>
      </x:c>
      <x:c r="AN119" s="12" t="str"/>
      <x:c r="AO119" s="12" t="str">
        <x:v>2026-07-01</x:v>
      </x:c>
      <x:c r="AP119" s="12" t="str">
        <x:v>2026-07-19</x:v>
      </x:c>
      <x:c r="AQ119" s="12" t="str">
        <x:v>Alta</x:v>
      </x:c>
      <x:c r="AR119" s="12" t="str">
        <x:v>Inventário mestre completo atualizado em 2026-07-01</x:v>
      </x:c>
      <x:c r="AS119" s="12" t="str">
        <x:v>Confirmar identificação em laboratório; Avaliar certificação; Precificação individual pendente</x:v>
      </x:c>
      <x:c r="AT119" s="12" t="str">
        <x:v>Identificação visual; lote total comprado por R$1.100; confirmar em laboratório. Peso oficial atualizado: 5.000 ct.</x:v>
      </x:c>
    </x:row>
    <x:row r="120">
      <x:c r="A120" s="12" t="str">
        <x:v>DG-RB-003</x:v>
      </x:c>
      <x:c r="B120" s="12" t="str"/>
      <x:c r="C120" s="12" t="str">
        <x:v>Ruby/Corundum Collection</x:v>
      </x:c>
      <x:c r="D120" s="12" t="str">
        <x:v>Coríndons</x:v>
      </x:c>
      <x:c r="E120" s="12" t="str">
        <x:v>Coríndon</x:v>
      </x:c>
      <x:c r="F120" s="12" t="str">
        <x:v>Rubi brasileiro provisório</x:v>
      </x:c>
      <x:c r="G120" s="12" t="str">
        <x:v>Gema individual</x:v>
      </x:c>
      <x:c r="H120" s="18" t="n">
        <x:v>1</x:v>
      </x:c>
      <x:c r="I120" s="12" t="str">
        <x:v>Cushion</x:v>
      </x:c>
      <x:c r="J120" s="12" t="str">
        <x:v>8 x 7 x 4</x:v>
      </x:c>
      <x:c r="K120" s="14" t="n">
        <x:v>2.96</x:v>
      </x:c>
      <x:c r="L120" s="12" t="str">
        <x:v>Sim</x:v>
      </x:c>
      <x:c r="M120" s="12" t="str">
        <x:v>Balança / informado</x:v>
      </x:c>
      <x:c r="N120" s="12" t="str">
        <x:v>Rosa avermelhado</x:v>
      </x:c>
      <x:c r="O120" s="12" t="str">
        <x:v>Translúcida</x:v>
      </x:c>
      <x:c r="P120" s="12" t="str">
        <x:v>Bahia</x:v>
      </x:c>
      <x:c r="Q120" s="12" t="str">
        <x:v>Não avaliado / não informado</x:v>
      </x:c>
      <x:c r="R120" s="12" t="str">
        <x:v>Não</x:v>
      </x:c>
      <x:c r="S120" s="12" t="str"/>
      <x:c r="T120" s="12" t="str"/>
      <x:c r="U120" s="20"/>
      <x:c r="V120" s="20"/>
      <x:c r="W120" s="20"/>
      <x:c r="X120" s="20"/>
      <x:c r="Y120" s="20"/>
      <x:c r="Z120" s="20"/>
      <x:c r="AA120" s="20"/>
      <x:c r="AB120" s="12" t="str">
        <x:v>Pendente de precificação individual</x:v>
      </x:c>
      <x:c r="AC120" s="16" t="n">
        <x:v>6.3</x:v>
      </x:c>
      <x:c r="AD120" s="12" t="str">
        <x:v>B</x:v>
      </x:c>
      <x:c r="AE120" s="12" t="str">
        <x:v>Média</x:v>
      </x:c>
      <x:c r="AF120" s="12" t="str">
        <x:v>Anel, pingente ou joia comercial</x:v>
      </x:c>
      <x:c r="AG120" s="12" t="str">
        <x:v>Anel, pingente ou joia comercial</x:v>
      </x:c>
      <x:c r="AH120" s="12" t="str">
        <x:v>Coleção</x:v>
      </x:c>
      <x:c r="AI120" s="12" t="str"/>
      <x:c r="AJ120" s="12" t="str"/>
      <x:c r="AK120" s="12" t="str"/>
      <x:c r="AL120" s="12" t="str"/>
      <x:c r="AM120" s="12" t="str">
        <x:v>Não informado</x:v>
      </x:c>
      <x:c r="AN120" s="12" t="str"/>
      <x:c r="AO120" s="12" t="str">
        <x:v>2026-07-01</x:v>
      </x:c>
      <x:c r="AP120" s="12" t="str">
        <x:v>2026-07-19</x:v>
      </x:c>
      <x:c r="AQ120" s="12" t="str">
        <x:v>Alta</x:v>
      </x:c>
      <x:c r="AR120" s="12" t="str">
        <x:v>Inventário mestre completo atualizado em 2026-07-01</x:v>
      </x:c>
      <x:c r="AS120" s="12" t="str">
        <x:v>Confirmar identificação em laboratório; Avaliar certificação; Precificação individual pendente</x:v>
      </x:c>
      <x:c r="AT120" s="12" t="str">
        <x:v>Identificação visual; lote total comprado por R$1.100; confirmar em laboratório. Peso oficial atualizado: 2.960 ct.</x:v>
      </x:c>
    </x:row>
    <x:row r="121">
      <x:c r="A121" s="12" t="str">
        <x:v>DG-RB-004</x:v>
      </x:c>
      <x:c r="B121" s="12" t="str"/>
      <x:c r="C121" s="12" t="str">
        <x:v>Ruby/Corundum Collection</x:v>
      </x:c>
      <x:c r="D121" s="12" t="str">
        <x:v>Coríndons</x:v>
      </x:c>
      <x:c r="E121" s="12" t="str">
        <x:v>Coríndon</x:v>
      </x:c>
      <x:c r="F121" s="12" t="str">
        <x:v>Rubi brasileiro provisório</x:v>
      </x:c>
      <x:c r="G121" s="12" t="str">
        <x:v>Gema individual</x:v>
      </x:c>
      <x:c r="H121" s="18" t="n">
        <x:v>1</x:v>
      </x:c>
      <x:c r="I121" s="12" t="str">
        <x:v>Quadrada/Octogonal</x:v>
      </x:c>
      <x:c r="J121" s="12" t="str">
        <x:v>9 x 9 x 4</x:v>
      </x:c>
      <x:c r="K121" s="14" t="n">
        <x:v>4.205</x:v>
      </x:c>
      <x:c r="L121" s="12" t="str">
        <x:v>Sim</x:v>
      </x:c>
      <x:c r="M121" s="12" t="str">
        <x:v>Balança / informado</x:v>
      </x:c>
      <x:c r="N121" s="12" t="str">
        <x:v>Rosa avermelhado</x:v>
      </x:c>
      <x:c r="O121" s="12" t="str">
        <x:v>Translúcida</x:v>
      </x:c>
      <x:c r="P121" s="12" t="str">
        <x:v>Bahia</x:v>
      </x:c>
      <x:c r="Q121" s="12" t="str">
        <x:v>Não avaliado / não informado</x:v>
      </x:c>
      <x:c r="R121" s="12" t="str">
        <x:v>Não</x:v>
      </x:c>
      <x:c r="S121" s="12" t="str"/>
      <x:c r="T121" s="12" t="str"/>
      <x:c r="U121" s="20"/>
      <x:c r="V121" s="20"/>
      <x:c r="W121" s="20"/>
      <x:c r="X121" s="20"/>
      <x:c r="Y121" s="20"/>
      <x:c r="Z121" s="20"/>
      <x:c r="AA121" s="20"/>
      <x:c r="AB121" s="12" t="str">
        <x:v>Pendente de precificação individual</x:v>
      </x:c>
      <x:c r="AC121" s="16" t="n">
        <x:v>6.1</x:v>
      </x:c>
      <x:c r="AD121" s="12" t="str">
        <x:v>B-</x:v>
      </x:c>
      <x:c r="AE121" s="12" t="str">
        <x:v>Média</x:v>
      </x:c>
      <x:c r="AF121" s="12" t="str">
        <x:v>Anel, pingente ou joia comercial</x:v>
      </x:c>
      <x:c r="AG121" s="12" t="str">
        <x:v>Anel, pingente ou joia comercial</x:v>
      </x:c>
      <x:c r="AH121" s="12" t="str">
        <x:v>Coleção</x:v>
      </x:c>
      <x:c r="AI121" s="12" t="str"/>
      <x:c r="AJ121" s="12" t="str"/>
      <x:c r="AK121" s="12" t="str"/>
      <x:c r="AL121" s="12" t="str"/>
      <x:c r="AM121" s="12" t="str">
        <x:v>Não informado</x:v>
      </x:c>
      <x:c r="AN121" s="12" t="str"/>
      <x:c r="AO121" s="12" t="str">
        <x:v>2026-07-01</x:v>
      </x:c>
      <x:c r="AP121" s="12" t="str">
        <x:v>2026-07-19</x:v>
      </x:c>
      <x:c r="AQ121" s="12" t="str">
        <x:v>Alta</x:v>
      </x:c>
      <x:c r="AR121" s="12" t="str">
        <x:v>Inventário mestre completo atualizado em 2026-07-01</x:v>
      </x:c>
      <x:c r="AS121" s="12" t="str">
        <x:v>Confirmar identificação em laboratório; Avaliar certificação; Precificação individual pendente</x:v>
      </x:c>
      <x:c r="AT121" s="12" t="str">
        <x:v>Identificação visual; lote total comprado por R$1.100; confirmar em laboratório. Peso oficial atualizado: 4.205 ct.</x:v>
      </x:c>
    </x:row>
    <x:row r="122">
      <x:c r="A122" s="12" t="str">
        <x:v>DG-RB-005</x:v>
      </x:c>
      <x:c r="B122" s="12" t="str"/>
      <x:c r="C122" s="12" t="str">
        <x:v>Ruby/Corundum Collection</x:v>
      </x:c>
      <x:c r="D122" s="12" t="str">
        <x:v>Coríndons</x:v>
      </x:c>
      <x:c r="E122" s="12" t="str">
        <x:v>Coríndon</x:v>
      </x:c>
      <x:c r="F122" s="12" t="str">
        <x:v>Rubi brasileiro provisório</x:v>
      </x:c>
      <x:c r="G122" s="12" t="str">
        <x:v>Gema individual</x:v>
      </x:c>
      <x:c r="H122" s="18" t="n">
        <x:v>1</x:v>
      </x:c>
      <x:c r="I122" s="12" t="str">
        <x:v>Cushion</x:v>
      </x:c>
      <x:c r="J122" s="12" t="str">
        <x:v>10 x 10 x 4</x:v>
      </x:c>
      <x:c r="K122" s="14" t="n">
        <x:v>5.245</x:v>
      </x:c>
      <x:c r="L122" s="12" t="str">
        <x:v>Sim</x:v>
      </x:c>
      <x:c r="M122" s="12" t="str">
        <x:v>Balança / informado</x:v>
      </x:c>
      <x:c r="N122" s="12" t="str">
        <x:v>Rosa avermelhado</x:v>
      </x:c>
      <x:c r="O122" s="12" t="str">
        <x:v>Translúcida</x:v>
      </x:c>
      <x:c r="P122" s="12" t="str">
        <x:v>Bahia</x:v>
      </x:c>
      <x:c r="Q122" s="12" t="str">
        <x:v>Não avaliado / não informado</x:v>
      </x:c>
      <x:c r="R122" s="12" t="str">
        <x:v>Não</x:v>
      </x:c>
      <x:c r="S122" s="12" t="str"/>
      <x:c r="T122" s="12" t="str"/>
      <x:c r="U122" s="20"/>
      <x:c r="V122" s="20"/>
      <x:c r="W122" s="20"/>
      <x:c r="X122" s="20"/>
      <x:c r="Y122" s="20"/>
      <x:c r="Z122" s="20"/>
      <x:c r="AA122" s="20"/>
      <x:c r="AB122" s="12" t="str">
        <x:v>Pendente de precificação individual</x:v>
      </x:c>
      <x:c r="AC122" s="16" t="n">
        <x:v>6.8</x:v>
      </x:c>
      <x:c r="AD122" s="12" t="str">
        <x:v>B+</x:v>
      </x:c>
      <x:c r="AE122" s="12" t="str">
        <x:v>Média</x:v>
      </x:c>
      <x:c r="AF122" s="12" t="str">
        <x:v>Anel, pingente ou joia comercial</x:v>
      </x:c>
      <x:c r="AG122" s="12" t="str">
        <x:v>Anel, pingente ou joia comercial</x:v>
      </x:c>
      <x:c r="AH122" s="12" t="str">
        <x:v>Coleção</x:v>
      </x:c>
      <x:c r="AI122" s="12" t="str"/>
      <x:c r="AJ122" s="12" t="str"/>
      <x:c r="AK122" s="12" t="str"/>
      <x:c r="AL122" s="12" t="str"/>
      <x:c r="AM122" s="12" t="str">
        <x:v>Não informado</x:v>
      </x:c>
      <x:c r="AN122" s="12" t="str"/>
      <x:c r="AO122" s="12" t="str">
        <x:v>2026-07-01</x:v>
      </x:c>
      <x:c r="AP122" s="12" t="str">
        <x:v>2026-07-19</x:v>
      </x:c>
      <x:c r="AQ122" s="12" t="str">
        <x:v>Alta</x:v>
      </x:c>
      <x:c r="AR122" s="12" t="str">
        <x:v>Inventário mestre completo atualizado em 2026-07-01</x:v>
      </x:c>
      <x:c r="AS122" s="12" t="str">
        <x:v>Confirmar identificação em laboratório; Avaliar certificação; Precificação individual pendente</x:v>
      </x:c>
      <x:c r="AT122" s="12" t="str">
        <x:v>Identificação visual; lote total comprado por R$1.100; confirmar em laboratório. Peso oficial atualizado: 5.245 ct.</x:v>
      </x:c>
    </x:row>
    <x:row r="123">
      <x:c r="A123" s="12" t="str">
        <x:v>DG-RB-006</x:v>
      </x:c>
      <x:c r="B123" s="12" t="str"/>
      <x:c r="C123" s="12" t="str">
        <x:v>Ruby/Corundum Collection</x:v>
      </x:c>
      <x:c r="D123" s="12" t="str">
        <x:v>Coríndons</x:v>
      </x:c>
      <x:c r="E123" s="12" t="str">
        <x:v>Coríndon</x:v>
      </x:c>
      <x:c r="F123" s="12" t="str">
        <x:v>Rubi brasileiro provisório</x:v>
      </x:c>
      <x:c r="G123" s="12" t="str">
        <x:v>Gema individual</x:v>
      </x:c>
      <x:c r="H123" s="18" t="n">
        <x:v>1</x:v>
      </x:c>
      <x:c r="I123" s="12" t="str">
        <x:v>Octogonal/Retangular</x:v>
      </x:c>
      <x:c r="J123" s="12" t="str">
        <x:v>12 x 10 x 5</x:v>
      </x:c>
      <x:c r="K123" s="14" t="n">
        <x:v>7.21</x:v>
      </x:c>
      <x:c r="L123" s="12" t="str">
        <x:v>Sim</x:v>
      </x:c>
      <x:c r="M123" s="12" t="str">
        <x:v>Balança / informado</x:v>
      </x:c>
      <x:c r="N123" s="12" t="str">
        <x:v>Rosa avermelhado</x:v>
      </x:c>
      <x:c r="O123" s="12" t="str">
        <x:v>Translúcida</x:v>
      </x:c>
      <x:c r="P123" s="12" t="str">
        <x:v>Bahia</x:v>
      </x:c>
      <x:c r="Q123" s="12" t="str">
        <x:v>Não avaliado / não informado</x:v>
      </x:c>
      <x:c r="R123" s="12" t="str">
        <x:v>Não</x:v>
      </x:c>
      <x:c r="S123" s="12" t="str"/>
      <x:c r="T123" s="12" t="str"/>
      <x:c r="U123" s="20"/>
      <x:c r="V123" s="20"/>
      <x:c r="W123" s="20"/>
      <x:c r="X123" s="20"/>
      <x:c r="Y123" s="20"/>
      <x:c r="Z123" s="20"/>
      <x:c r="AA123" s="20"/>
      <x:c r="AB123" s="12" t="str">
        <x:v>Pendente de precificação individual</x:v>
      </x:c>
      <x:c r="AC123" s="16" t="n">
        <x:v>7</x:v>
      </x:c>
      <x:c r="AD123" s="12" t="str">
        <x:v>B+</x:v>
      </x:c>
      <x:c r="AE123" s="12" t="str">
        <x:v>Média</x:v>
      </x:c>
      <x:c r="AF123" s="12" t="str">
        <x:v>Anel, pingente ou joia comercial</x:v>
      </x:c>
      <x:c r="AG123" s="12" t="str">
        <x:v>Anel, pingente ou joia comercial</x:v>
      </x:c>
      <x:c r="AH123" s="12" t="str">
        <x:v>Coleção</x:v>
      </x:c>
      <x:c r="AI123" s="12" t="str"/>
      <x:c r="AJ123" s="12" t="str"/>
      <x:c r="AK123" s="12" t="str"/>
      <x:c r="AL123" s="12" t="str"/>
      <x:c r="AM123" s="12" t="str">
        <x:v>Não informado</x:v>
      </x:c>
      <x:c r="AN123" s="12" t="str"/>
      <x:c r="AO123" s="12" t="str">
        <x:v>2026-07-01</x:v>
      </x:c>
      <x:c r="AP123" s="12" t="str">
        <x:v>2026-07-19</x:v>
      </x:c>
      <x:c r="AQ123" s="12" t="str">
        <x:v>Alta</x:v>
      </x:c>
      <x:c r="AR123" s="12" t="str">
        <x:v>Inventário mestre completo atualizado em 2026-07-01</x:v>
      </x:c>
      <x:c r="AS123" s="12" t="str">
        <x:v>Confirmar identificação em laboratório; Avaliar certificação; Precificação individual pendente</x:v>
      </x:c>
      <x:c r="AT123" s="12" t="str">
        <x:v>Identificação visual; lote total comprado por R$1.100; confirmar em laboratório. Peso oficial atualizado: 7.210 ct.</x:v>
      </x:c>
    </x:row>
    <x:row r="124">
      <x:c r="A124" s="12" t="str">
        <x:v>DG-RB-007</x:v>
      </x:c>
      <x:c r="B124" s="12" t="str"/>
      <x:c r="C124" s="12" t="str">
        <x:v>Ruby/Corundum Collection</x:v>
      </x:c>
      <x:c r="D124" s="12" t="str">
        <x:v>Coríndons</x:v>
      </x:c>
      <x:c r="E124" s="12" t="str">
        <x:v>Coríndon</x:v>
      </x:c>
      <x:c r="F124" s="12" t="str">
        <x:v>Rubi brasileiro provisório</x:v>
      </x:c>
      <x:c r="G124" s="12" t="str">
        <x:v>Gema individual</x:v>
      </x:c>
      <x:c r="H124" s="18" t="n">
        <x:v>1</x:v>
      </x:c>
      <x:c r="I124" s="12" t="str">
        <x:v>Escudo irregular</x:v>
      </x:c>
      <x:c r="J124" s="12" t="str">
        <x:v>9 x 10 x 4</x:v>
      </x:c>
      <x:c r="K124" s="14" t="n">
        <x:v>3.53</x:v>
      </x:c>
      <x:c r="L124" s="12" t="str">
        <x:v>Sim</x:v>
      </x:c>
      <x:c r="M124" s="12" t="str">
        <x:v>Balança / informado</x:v>
      </x:c>
      <x:c r="N124" s="12" t="str">
        <x:v>Rosa avermelhado</x:v>
      </x:c>
      <x:c r="O124" s="12" t="str">
        <x:v>Translúcida</x:v>
      </x:c>
      <x:c r="P124" s="12" t="str">
        <x:v>Bahia</x:v>
      </x:c>
      <x:c r="Q124" s="12" t="str">
        <x:v>Não avaliado / não informado</x:v>
      </x:c>
      <x:c r="R124" s="12" t="str">
        <x:v>Não</x:v>
      </x:c>
      <x:c r="S124" s="12" t="str"/>
      <x:c r="T124" s="12" t="str"/>
      <x:c r="U124" s="20"/>
      <x:c r="V124" s="20"/>
      <x:c r="W124" s="20"/>
      <x:c r="X124" s="20"/>
      <x:c r="Y124" s="20"/>
      <x:c r="Z124" s="20"/>
      <x:c r="AA124" s="20"/>
      <x:c r="AB124" s="12" t="str">
        <x:v>Pendente de precificação individual</x:v>
      </x:c>
      <x:c r="AC124" s="16" t="n">
        <x:v>6.9</x:v>
      </x:c>
      <x:c r="AD124" s="12" t="str">
        <x:v>B+</x:v>
      </x:c>
      <x:c r="AE124" s="12" t="str">
        <x:v>Média</x:v>
      </x:c>
      <x:c r="AF124" s="12" t="str">
        <x:v>Anel, pingente ou joia comercial</x:v>
      </x:c>
      <x:c r="AG124" s="12" t="str">
        <x:v>Anel, pingente ou joia comercial</x:v>
      </x:c>
      <x:c r="AH124" s="12" t="str">
        <x:v>Coleção</x:v>
      </x:c>
      <x:c r="AI124" s="12" t="str"/>
      <x:c r="AJ124" s="12" t="str"/>
      <x:c r="AK124" s="12" t="str"/>
      <x:c r="AL124" s="12" t="str"/>
      <x:c r="AM124" s="12" t="str">
        <x:v>Não informado</x:v>
      </x:c>
      <x:c r="AN124" s="12" t="str"/>
      <x:c r="AO124" s="12" t="str">
        <x:v>2026-07-01</x:v>
      </x:c>
      <x:c r="AP124" s="12" t="str">
        <x:v>2026-07-19</x:v>
      </x:c>
      <x:c r="AQ124" s="12" t="str">
        <x:v>Alta</x:v>
      </x:c>
      <x:c r="AR124" s="12" t="str">
        <x:v>Inventário mestre completo atualizado em 2026-07-01</x:v>
      </x:c>
      <x:c r="AS124" s="12" t="str">
        <x:v>Confirmar identificação em laboratório; Avaliar certificação; Precificação individual pendente</x:v>
      </x:c>
      <x:c r="AT124" s="12" t="str">
        <x:v>Identificação visual; lote total comprado por R$1.100; confirmar em laboratório. Peso oficial atualizado: 3.530 ct.</x:v>
      </x:c>
    </x:row>
    <x:row r="125">
      <x:c r="A125" s="12" t="str">
        <x:v>DG-RB-008</x:v>
      </x:c>
      <x:c r="B125" s="12" t="str"/>
      <x:c r="C125" s="12" t="str">
        <x:v>Ruby/Corundum Collection</x:v>
      </x:c>
      <x:c r="D125" s="12" t="str">
        <x:v>Coríndons</x:v>
      </x:c>
      <x:c r="E125" s="12" t="str">
        <x:v>Coríndon</x:v>
      </x:c>
      <x:c r="F125" s="12" t="str">
        <x:v>Rubi brasileiro provisório</x:v>
      </x:c>
      <x:c r="G125" s="12" t="str">
        <x:v>Gema individual</x:v>
      </x:c>
      <x:c r="H125" s="18" t="n">
        <x:v>1</x:v>
      </x:c>
      <x:c r="I125" s="12" t="str">
        <x:v>Navete/Marquise</x:v>
      </x:c>
      <x:c r="J125" s="12" t="str">
        <x:v>15 x 9 x 3</x:v>
      </x:c>
      <x:c r="K125" s="14" t="n">
        <x:v>3.95</x:v>
      </x:c>
      <x:c r="L125" s="12" t="str">
        <x:v>Sim</x:v>
      </x:c>
      <x:c r="M125" s="12" t="str">
        <x:v>Balança / informado</x:v>
      </x:c>
      <x:c r="N125" s="12" t="str">
        <x:v>Rosa avermelhado</x:v>
      </x:c>
      <x:c r="O125" s="12" t="str">
        <x:v>Translúcida</x:v>
      </x:c>
      <x:c r="P125" s="12" t="str">
        <x:v>Bahia</x:v>
      </x:c>
      <x:c r="Q125" s="12" t="str">
        <x:v>Não avaliado / não informado</x:v>
      </x:c>
      <x:c r="R125" s="12" t="str">
        <x:v>Não</x:v>
      </x:c>
      <x:c r="S125" s="12" t="str"/>
      <x:c r="T125" s="12" t="str"/>
      <x:c r="U125" s="20"/>
      <x:c r="V125" s="20"/>
      <x:c r="W125" s="20"/>
      <x:c r="X125" s="20"/>
      <x:c r="Y125" s="20"/>
      <x:c r="Z125" s="20"/>
      <x:c r="AA125" s="20"/>
      <x:c r="AB125" s="12" t="str">
        <x:v>Pendente de precificação individual</x:v>
      </x:c>
      <x:c r="AC125" s="16" t="n">
        <x:v>6.9</x:v>
      </x:c>
      <x:c r="AD125" s="12" t="str">
        <x:v>B</x:v>
      </x:c>
      <x:c r="AE125" s="12" t="str">
        <x:v>Média</x:v>
      </x:c>
      <x:c r="AF125" s="12" t="str">
        <x:v>Anel, pingente ou joia comercial</x:v>
      </x:c>
      <x:c r="AG125" s="12" t="str">
        <x:v>Anel, pingente ou joia comercial</x:v>
      </x:c>
      <x:c r="AH125" s="12" t="str">
        <x:v>Coleção</x:v>
      </x:c>
      <x:c r="AI125" s="12" t="str"/>
      <x:c r="AJ125" s="12" t="str"/>
      <x:c r="AK125" s="12" t="str"/>
      <x:c r="AL125" s="12" t="str"/>
      <x:c r="AM125" s="12" t="str">
        <x:v>Não informado</x:v>
      </x:c>
      <x:c r="AN125" s="12" t="str"/>
      <x:c r="AO125" s="12" t="str">
        <x:v>2026-07-01</x:v>
      </x:c>
      <x:c r="AP125" s="12" t="str">
        <x:v>2026-07-19</x:v>
      </x:c>
      <x:c r="AQ125" s="12" t="str">
        <x:v>Alta</x:v>
      </x:c>
      <x:c r="AR125" s="12" t="str">
        <x:v>Inventário mestre completo atualizado em 2026-07-01</x:v>
      </x:c>
      <x:c r="AS125" s="12" t="str">
        <x:v>Confirmar identificação em laboratório; Avaliar certificação; Precificação individual pendente</x:v>
      </x:c>
      <x:c r="AT125" s="12" t="str">
        <x:v>Identificação visual; lote total comprado por R$1.100; confirmar em laboratório. Peso oficial atualizado: 3.950 ct.</x:v>
      </x:c>
    </x:row>
    <x:row r="126">
      <x:c r="A126" s="12" t="str">
        <x:v>DG-RB-009</x:v>
      </x:c>
      <x:c r="B126" s="12" t="str"/>
      <x:c r="C126" s="12" t="str">
        <x:v>Ruby/Corundum Collection</x:v>
      </x:c>
      <x:c r="D126" s="12" t="str">
        <x:v>Coríndons</x:v>
      </x:c>
      <x:c r="E126" s="12" t="str">
        <x:v>Coríndon</x:v>
      </x:c>
      <x:c r="F126" s="12" t="str">
        <x:v>Rubi brasileiro provisório</x:v>
      </x:c>
      <x:c r="G126" s="12" t="str">
        <x:v>Lote</x:v>
      </x:c>
      <x:c r="H126" s="18" t="n">
        <x:v>10</x:v>
      </x:c>
      <x:c r="I126" s="12" t="str">
        <x:v>Gotas/Navetes</x:v>
      </x:c>
      <x:c r="J126" s="12" t="str">
        <x:v>6 maiores 10–12x4–5x2–3; 4 menores 7–8x3–4x2–3</x:v>
      </x:c>
      <x:c r="K126" s="14" t="n">
        <x:v>25.84</x:v>
      </x:c>
      <x:c r="L126" s="12" t="str">
        <x:v>Sim</x:v>
      </x:c>
      <x:c r="M126" s="12" t="str">
        <x:v>Balança / informado</x:v>
      </x:c>
      <x:c r="N126" s="12" t="str">
        <x:v>Rosa avermelhado uniforme</x:v>
      </x:c>
      <x:c r="O126" s="12" t="str">
        <x:v>Translúcida</x:v>
      </x:c>
      <x:c r="P126" s="12" t="str">
        <x:v>Bahia</x:v>
      </x:c>
      <x:c r="Q126" s="12" t="str">
        <x:v>Não avaliado / não informado</x:v>
      </x:c>
      <x:c r="R126" s="12" t="str">
        <x:v>Não</x:v>
      </x:c>
      <x:c r="S126" s="12" t="str"/>
      <x:c r="T126" s="12" t="str"/>
      <x:c r="U126" s="20"/>
      <x:c r="V126" s="20" t="n">
        <x:v>1500</x:v>
      </x:c>
      <x:c r="W126" s="20" t="n">
        <x:v>2800</x:v>
      </x:c>
      <x:c r="X126" s="20" t="n">
        <x:v>3000</x:v>
      </x:c>
      <x:c r="Y126" s="20" t="n">
        <x:v>5500</x:v>
      </x:c>
      <x:c r="Z126" s="20" t="n">
        <x:v>8000</x:v>
      </x:c>
      <x:c r="AA126" s="20" t="n">
        <x:v>18000</x:v>
      </x:c>
      <x:c r="AB126" s="12" t="str">
        <x:v>Registrado no histórico</x:v>
      </x:c>
      <x:c r="AC126" s="16" t="n">
        <x:v>7.4</x:v>
      </x:c>
      <x:c r="AD126" s="12" t="str">
        <x:v>B</x:v>
      </x:c>
      <x:c r="AE126" s="12" t="str">
        <x:v>Média</x:v>
      </x:c>
      <x:c r="AF126" s="12" t="str">
        <x:v>Brincos, pingentes, riviera, colares</x:v>
      </x:c>
      <x:c r="AG126" s="12" t="str">
        <x:v>Brincos, pingentes, riviera, colares</x:v>
      </x:c>
      <x:c r="AH126" s="12" t="str">
        <x:v>Coleção</x:v>
      </x:c>
      <x:c r="AI126" s="12" t="str"/>
      <x:c r="AJ126" s="12" t="str"/>
      <x:c r="AK126" s="12" t="str"/>
      <x:c r="AL126" s="12" t="str"/>
      <x:c r="AM126" s="12" t="str">
        <x:v>Não informado</x:v>
      </x:c>
      <x:c r="AN126" s="12" t="str"/>
      <x:c r="AO126" s="12" t="str">
        <x:v>2026-07-01</x:v>
      </x:c>
      <x:c r="AP126" s="12" t="str">
        <x:v>2026-07-19</x:v>
      </x:c>
      <x:c r="AQ126" s="12" t="str">
        <x:v>Alta</x:v>
      </x:c>
      <x:c r="AR126" s="12" t="str">
        <x:v>Inventário mestre completo atualizado em 2026-07-01</x:v>
      </x:c>
      <x:c r="AS126" s="12" t="str">
        <x:v>Confirmar identificação em laboratório; Avaliar certificação</x:v>
      </x:c>
      <x:c r="AT126" s="12" t="str">
        <x:v>Lote calibrado; parte do lote de R$1.100. Peso oficial atualizado: 25,840 ct total do lote com 10 pedras.</x:v>
      </x:c>
    </x:row>
    <x:row r="127">
      <x:c r="A127" s="12" t="str">
        <x:v>DG-RB-010</x:v>
      </x:c>
      <x:c r="B127" s="12" t="str"/>
      <x:c r="C127" s="12" t="str">
        <x:v>Ruby/Corundum Collection</x:v>
      </x:c>
      <x:c r="D127" s="12" t="str">
        <x:v>Coríndons</x:v>
      </x:c>
      <x:c r="E127" s="12" t="str">
        <x:v>Coríndon</x:v>
      </x:c>
      <x:c r="F127" s="12" t="str">
        <x:v>Rubi brasileiro provisório</x:v>
      </x:c>
      <x:c r="G127" s="12" t="str">
        <x:v>Lote</x:v>
      </x:c>
      <x:c r="H127" s="18" t="n">
        <x:v>7</x:v>
      </x:c>
      <x:c r="I127" s="12" t="str">
        <x:v>Quadrados, gotas e oval</x:v>
      </x:c>
      <x:c r="J127" s="12" t="str">
        <x:v>Maior 10x10x4; menores 5x5x3; inferiores 7–12x4–5x3–4</x:v>
      </x:c>
      <x:c r="K127" s="14" t="n">
        <x:v>19</x:v>
      </x:c>
      <x:c r="L127" s="12" t="str">
        <x:v>Sim</x:v>
      </x:c>
      <x:c r="M127" s="12" t="str">
        <x:v>Balança / informado</x:v>
      </x:c>
      <x:c r="N127" s="12" t="str">
        <x:v>Rosa médio / avermelhado</x:v>
      </x:c>
      <x:c r="O127" s="12" t="str">
        <x:v>Translúcida</x:v>
      </x:c>
      <x:c r="P127" s="12" t="str">
        <x:v>Bahia</x:v>
      </x:c>
      <x:c r="Q127" s="12" t="str">
        <x:v>Não avaliado / não informado</x:v>
      </x:c>
      <x:c r="R127" s="12" t="str">
        <x:v>Não</x:v>
      </x:c>
      <x:c r="S127" s="12" t="str"/>
      <x:c r="T127" s="12" t="str"/>
      <x:c r="U127" s="20"/>
      <x:c r="V127" s="20" t="n">
        <x:v>2000</x:v>
      </x:c>
      <x:c r="W127" s="20" t="n">
        <x:v>3800</x:v>
      </x:c>
      <x:c r="X127" s="20" t="n">
        <x:v>4000</x:v>
      </x:c>
      <x:c r="Y127" s="20" t="n">
        <x:v>7000</x:v>
      </x:c>
      <x:c r="Z127" s="20" t="n">
        <x:v>10000</x:v>
      </x:c>
      <x:c r="AA127" s="20" t="n">
        <x:v>22000</x:v>
      </x:c>
      <x:c r="AB127" s="12" t="str">
        <x:v>Registrado no histórico</x:v>
      </x:c>
      <x:c r="AC127" s="16" t="n">
        <x:v>7.8</x:v>
      </x:c>
      <x:c r="AD127" s="12" t="str">
        <x:v>B+</x:v>
      </x:c>
      <x:c r="AE127" s="12" t="str">
        <x:v>Média</x:v>
      </x:c>
      <x:c r="AF127" s="12" t="str">
        <x:v>Anel com quadrada maior, brincos com gotas</x:v>
      </x:c>
      <x:c r="AG127" s="12" t="str">
        <x:v>Anel com quadrada maior, brincos com gotas</x:v>
      </x:c>
      <x:c r="AH127" s="12" t="str">
        <x:v>Coleção</x:v>
      </x:c>
      <x:c r="AI127" s="12" t="str"/>
      <x:c r="AJ127" s="12" t="str"/>
      <x:c r="AK127" s="12" t="str"/>
      <x:c r="AL127" s="12" t="str"/>
      <x:c r="AM127" s="12" t="str">
        <x:v>Não informado</x:v>
      </x:c>
      <x:c r="AN127" s="12" t="str"/>
      <x:c r="AO127" s="12" t="str">
        <x:v>2026-07-01</x:v>
      </x:c>
      <x:c r="AP127" s="12" t="str">
        <x:v>2026-07-19</x:v>
      </x:c>
      <x:c r="AQ127" s="12" t="str">
        <x:v>Alta</x:v>
      </x:c>
      <x:c r="AR127" s="12" t="str">
        <x:v>Inventário mestre completo atualizado em 2026-07-01</x:v>
      </x:c>
      <x:c r="AS127" s="12" t="str">
        <x:v>Confirmar identificação em laboratório; Avaliar certificação</x:v>
      </x:c>
      <x:c r="AT127" s="12" t="str">
        <x:v>Lote diverso; parte do lote de R$1.100. Peso oficial atualizado: 19,000 ct total do lote com 7 pedras.</x:v>
      </x:c>
    </x:row>
    <x:row r="128">
      <x:c r="A128" s="12" t="str">
        <x:v>DG-RB-011</x:v>
      </x:c>
      <x:c r="B128" s="12" t="str"/>
      <x:c r="C128" s="12" t="str">
        <x:v>Ruby/Corundum Collection</x:v>
      </x:c>
      <x:c r="D128" s="12" t="str">
        <x:v>Coríndons</x:v>
      </x:c>
      <x:c r="E128" s="12" t="str">
        <x:v>Coríndon</x:v>
      </x:c>
      <x:c r="F128" s="12" t="str">
        <x:v>Rubi brasileiro provisório</x:v>
      </x:c>
      <x:c r="G128" s="12" t="str">
        <x:v>Lote</x:v>
      </x:c>
      <x:c r="H128" s="18" t="n">
        <x:v>3</x:v>
      </x:c>
      <x:c r="I128" s="12" t="str">
        <x:v>Navete/Marquise</x:v>
      </x:c>
      <x:c r="J128" s="12" t="str">
        <x:v>13–15 x 4 x 2–3</x:v>
      </x:c>
      <x:c r="K128" s="14" t="n">
        <x:v>6.945</x:v>
      </x:c>
      <x:c r="L128" s="12" t="str">
        <x:v>Sim</x:v>
      </x:c>
      <x:c r="M128" s="12" t="str">
        <x:v>Balança / informado</x:v>
      </x:c>
      <x:c r="N128" s="12" t="str">
        <x:v>Rosa avermelhado médio</x:v>
      </x:c>
      <x:c r="O128" s="12" t="str">
        <x:v>Translúcida</x:v>
      </x:c>
      <x:c r="P128" s="12" t="str">
        <x:v>Bahia</x:v>
      </x:c>
      <x:c r="Q128" s="12" t="str">
        <x:v>Não avaliado / não informado</x:v>
      </x:c>
      <x:c r="R128" s="12" t="str">
        <x:v>Não</x:v>
      </x:c>
      <x:c r="S128" s="12" t="str"/>
      <x:c r="T128" s="12" t="str"/>
      <x:c r="U128" s="20"/>
      <x:c r="V128" s="20" t="n">
        <x:v>500</x:v>
      </x:c>
      <x:c r="W128" s="20" t="n">
        <x:v>900</x:v>
      </x:c>
      <x:c r="X128" s="20" t="n">
        <x:v>1000</x:v>
      </x:c>
      <x:c r="Y128" s="20" t="n">
        <x:v>1800</x:v>
      </x:c>
      <x:c r="Z128" s="20" t="n">
        <x:v>3000</x:v>
      </x:c>
      <x:c r="AA128" s="20" t="n">
        <x:v>7000</x:v>
      </x:c>
      <x:c r="AB128" s="12" t="str">
        <x:v>Registrado no histórico</x:v>
      </x:c>
      <x:c r="AC128" s="16" t="n">
        <x:v>7</x:v>
      </x:c>
      <x:c r="AD128" s="12" t="str">
        <x:v>B</x:v>
      </x:c>
      <x:c r="AE128" s="12" t="str">
        <x:v>Baixa/Média</x:v>
      </x:c>
      <x:c r="AF128" s="12" t="str">
        <x:v>Brincos longos, pingentes lineares</x:v>
      </x:c>
      <x:c r="AG128" s="12" t="str">
        <x:v>Brincos longos, pingentes lineares</x:v>
      </x:c>
      <x:c r="AH128" s="12" t="str">
        <x:v>Coleção</x:v>
      </x:c>
      <x:c r="AI128" s="12" t="str"/>
      <x:c r="AJ128" s="12" t="str"/>
      <x:c r="AK128" s="12" t="str"/>
      <x:c r="AL128" s="12" t="str"/>
      <x:c r="AM128" s="12" t="str">
        <x:v>Não informado</x:v>
      </x:c>
      <x:c r="AN128" s="12" t="str"/>
      <x:c r="AO128" s="12" t="str">
        <x:v>2026-07-01</x:v>
      </x:c>
      <x:c r="AP128" s="12" t="str">
        <x:v>2026-07-19</x:v>
      </x:c>
      <x:c r="AQ128" s="12" t="str">
        <x:v>Alta</x:v>
      </x:c>
      <x:c r="AR128" s="12" t="str">
        <x:v>Inventário mestre completo atualizado em 2026-07-01</x:v>
      </x:c>
      <x:c r="AS128" s="12" t="str">
        <x:v>Confirmar identificação em laboratório</x:v>
      </x:c>
      <x:c r="AT128" s="12" t="str">
        <x:v>Formato navete confirmado; parte do lote de R$1.100. Peso oficial atualizado: 6,945 ct total do lote com 3 pedras.</x:v>
      </x:c>
    </x:row>
    <x:row r="129">
      <x:c r="A129" s="12" t="str">
        <x:v>DG-RB-012</x:v>
      </x:c>
      <x:c r="B129" s="12" t="str"/>
      <x:c r="C129" s="12" t="str">
        <x:v>Ruby/Corundum Collection</x:v>
      </x:c>
      <x:c r="D129" s="12" t="str">
        <x:v>Coríndons</x:v>
      </x:c>
      <x:c r="E129" s="12" t="str">
        <x:v>Coríndon</x:v>
      </x:c>
      <x:c r="F129" s="12" t="str">
        <x:v>Rubi brasileiro provisório</x:v>
      </x:c>
      <x:c r="G129" s="12" t="str">
        <x:v>Gema individual</x:v>
      </x:c>
      <x:c r="H129" s="18" t="n">
        <x:v>1</x:v>
      </x:c>
      <x:c r="I129" s="12" t="str">
        <x:v>Gota</x:v>
      </x:c>
      <x:c r="J129" s="12" t="str">
        <x:v>8 x 5 x 2</x:v>
      </x:c>
      <x:c r="K129" s="14" t="n">
        <x:v>1.59</x:v>
      </x:c>
      <x:c r="L129" s="12" t="str">
        <x:v>Sim</x:v>
      </x:c>
      <x:c r="M129" s="12" t="str">
        <x:v>Balança / informado</x:v>
      </x:c>
      <x:c r="N129" s="12" t="str">
        <x:v>Rosa avermelhado</x:v>
      </x:c>
      <x:c r="O129" s="12" t="str">
        <x:v>Translúcida</x:v>
      </x:c>
      <x:c r="P129" s="12" t="str">
        <x:v>Bahia</x:v>
      </x:c>
      <x:c r="Q129" s="12" t="str">
        <x:v>Não avaliado / não informado</x:v>
      </x:c>
      <x:c r="R129" s="12" t="str">
        <x:v>Não</x:v>
      </x:c>
      <x:c r="S129" s="12" t="str"/>
      <x:c r="T129" s="12" t="str"/>
      <x:c r="U129" s="20"/>
      <x:c r="V129" s="20"/>
      <x:c r="W129" s="20"/>
      <x:c r="X129" s="20"/>
      <x:c r="Y129" s="20"/>
      <x:c r="Z129" s="20"/>
      <x:c r="AA129" s="20"/>
      <x:c r="AB129" s="12" t="str">
        <x:v>Pendente de precificação individual</x:v>
      </x:c>
      <x:c r="AC129" s="16" t="n">
        <x:v>7.9</x:v>
      </x:c>
      <x:c r="AD129" s="12" t="str">
        <x:v>B+</x:v>
      </x:c>
      <x:c r="AE129" s="12" t="str">
        <x:v>Média</x:v>
      </x:c>
      <x:c r="AF129" s="12" t="str">
        <x:v>Anel, pingente ou joia comercial</x:v>
      </x:c>
      <x:c r="AG129" s="12" t="str">
        <x:v>Anel, pingente ou joia comercial</x:v>
      </x:c>
      <x:c r="AH129" s="12" t="str">
        <x:v>Coleção</x:v>
      </x:c>
      <x:c r="AI129" s="12" t="str"/>
      <x:c r="AJ129" s="12" t="str"/>
      <x:c r="AK129" s="12" t="str"/>
      <x:c r="AL129" s="12" t="str"/>
      <x:c r="AM129" s="12" t="str">
        <x:v>Não informado</x:v>
      </x:c>
      <x:c r="AN129" s="12" t="str"/>
      <x:c r="AO129" s="12" t="str">
        <x:v>2026-07-01</x:v>
      </x:c>
      <x:c r="AP129" s="12" t="str">
        <x:v>2026-07-19</x:v>
      </x:c>
      <x:c r="AQ129" s="12" t="str">
        <x:v>Alta</x:v>
      </x:c>
      <x:c r="AR129" s="12" t="str">
        <x:v>Inventário mestre completo atualizado em 2026-07-01</x:v>
      </x:c>
      <x:c r="AS129" s="12" t="str">
        <x:v>Confirmar identificação em laboratório; Avaliar certificação; Precificação individual pendente</x:v>
      </x:c>
      <x:c r="AT129" s="12" t="str">
        <x:v>Identificação visual; lote total comprado por R$1.100; confirmar em laboratório. Peso oficial atualizado: 1.590 ct.</x:v>
      </x:c>
    </x:row>
    <x:row r="130">
      <x:c r="A130" s="12" t="str">
        <x:v>DG-AP-001</x:v>
      </x:c>
      <x:c r="B130" s="12" t="str"/>
      <x:c r="C130" s="12" t="str">
        <x:v>Apatite Collection</x:v>
      </x:c>
      <x:c r="D130" s="12" t="str">
        <x:v>Apatitas</x:v>
      </x:c>
      <x:c r="E130" s="12" t="str">
        <x:v>Apatita</x:v>
      </x:c>
      <x:c r="F130" s="12" t="str">
        <x:v>Azul Neon</x:v>
      </x:c>
      <x:c r="G130" s="12" t="str">
        <x:v>Lote</x:v>
      </x:c>
      <x:c r="H130" s="18" t="n">
        <x:v>5</x:v>
      </x:c>
      <x:c r="I130" s="12" t="str">
        <x:v>Oval</x:v>
      </x:c>
      <x:c r="J130" s="12" t="str">
        <x:v>6 x 4 cada</x:v>
      </x:c>
      <x:c r="K130" s="14" t="n">
        <x:v>2.6</x:v>
      </x:c>
      <x:c r="L130" s="12" t="str">
        <x:v>Sim</x:v>
      </x:c>
      <x:c r="M130" s="12" t="str">
        <x:v>Fornecedor</x:v>
      </x:c>
      <x:c r="N130" s="12" t="str">
        <x:v>Azul Neon</x:v>
      </x:c>
      <x:c r="O130" s="12" t="str">
        <x:v>Transparente</x:v>
      </x:c>
      <x:c r="P130" s="12" t="str"/>
      <x:c r="Q130" s="12" t="str">
        <x:v>Não avaliado / não informado</x:v>
      </x:c>
      <x:c r="R130" s="12" t="str">
        <x:v>Não</x:v>
      </x:c>
      <x:c r="S130" s="12" t="str"/>
      <x:c r="T130" s="12" t="str"/>
      <x:c r="U130" s="20" t="n">
        <x:v>525</x:v>
      </x:c>
      <x:c r="V130" s="20" t="n">
        <x:v>1250</x:v>
      </x:c>
      <x:c r="W130" s="20" t="n">
        <x:v>2250</x:v>
      </x:c>
      <x:c r="X130" s="20" t="n">
        <x:v>1250</x:v>
      </x:c>
      <x:c r="Y130" s="20" t="n">
        <x:v>2250</x:v>
      </x:c>
      <x:c r="Z130" s="20" t="n">
        <x:v>5000</x:v>
      </x:c>
      <x:c r="AA130" s="20" t="n">
        <x:v>12000</x:v>
      </x:c>
      <x:c r="AB130" s="12" t="str">
        <x:v>Registrado no histórico</x:v>
      </x:c>
      <x:c r="AC130" s="16" t="n">
        <x:v>8.2</x:v>
      </x:c>
      <x:c r="AD130" s="12" t="str">
        <x:v>B+</x:v>
      </x:c>
      <x:c r="AE130" s="12" t="str">
        <x:v>Baixa</x:v>
      </x:c>
      <x:c r="AF130" s="12" t="str">
        <x:v>Brincos, anel halo, conjunto Ocean</x:v>
      </x:c>
      <x:c r="AG130" s="12" t="str">
        <x:v>Brincos, anel halo, conjunto Ocean</x:v>
      </x:c>
      <x:c r="AH130" s="12" t="str">
        <x:v>Coleção</x:v>
      </x:c>
      <x:c r="AI130" s="12" t="str"/>
      <x:c r="AJ130" s="12" t="str"/>
      <x:c r="AK130" s="12" t="str"/>
      <x:c r="AL130" s="12" t="str"/>
      <x:c r="AM130" s="12" t="str">
        <x:v>Não informado</x:v>
      </x:c>
      <x:c r="AN130" s="12" t="str"/>
      <x:c r="AO130" s="12" t="str">
        <x:v>2026-07-01</x:v>
      </x:c>
      <x:c r="AP130" s="12" t="str">
        <x:v>2026-07-19</x:v>
      </x:c>
      <x:c r="AQ130" s="12" t="str">
        <x:v>Alta</x:v>
      </x:c>
      <x:c r="AR130" s="12" t="str">
        <x:v>Inventário mestre completo atualizado em 2026-07-01</x:v>
      </x:c>
      <x:c r="AS130" s="12" t="str"/>
      <x:c r="AT130" s="12" t="str">
        <x:v>5 unidades; 0,52 ct por unidade; R$105/unidade.</x:v>
      </x:c>
    </x:row>
    <x:row r="131">
      <x:c r="A131" s="12" t="str">
        <x:v>DG-RD-001</x:v>
      </x:c>
      <x:c r="B131" s="12" t="str"/>
      <x:c r="C131" s="12" t="str">
        <x:v>Royal Collection</x:v>
      </x:c>
      <x:c r="D131" s="12" t="str">
        <x:v>Rodolitas</x:v>
      </x:c>
      <x:c r="E131" s="12" t="str">
        <x:v>Granada</x:v>
      </x:c>
      <x:c r="F131" s="12" t="str">
        <x:v>Rodolita provisória</x:v>
      </x:c>
      <x:c r="G131" s="12" t="str">
        <x:v>Gema individual</x:v>
      </x:c>
      <x:c r="H131" s="18" t="n">
        <x:v>1</x:v>
      </x:c>
      <x:c r="I131" s="12" t="str">
        <x:v>Gota</x:v>
      </x:c>
      <x:c r="J131" s="12" t="str">
        <x:v>10 x 5</x:v>
      </x:c>
      <x:c r="K131" s="14" t="n">
        <x:v>2.1</x:v>
      </x:c>
      <x:c r="L131" s="12" t="str">
        <x:v>Não</x:v>
      </x:c>
      <x:c r="M131" s="12" t="str">
        <x:v>Estimativa por medidas</x:v>
      </x:c>
      <x:c r="N131" s="12" t="str">
        <x:v>Vinho / framboesa / magenta</x:v>
      </x:c>
      <x:c r="O131" s="12" t="str">
        <x:v>Transparente a translúcida</x:v>
      </x:c>
      <x:c r="P131" s="12" t="str">
        <x:v>Bahia</x:v>
      </x:c>
      <x:c r="Q131" s="12" t="str">
        <x:v>Não avaliado / não informado</x:v>
      </x:c>
      <x:c r="R131" s="12" t="str">
        <x:v>Não</x:v>
      </x:c>
      <x:c r="S131" s="12" t="str"/>
      <x:c r="T131" s="12" t="str"/>
      <x:c r="U131" s="20"/>
      <x:c r="V131" s="20" t="n">
        <x:v>357</x:v>
      </x:c>
      <x:c r="W131" s="20" t="n">
        <x:v>650</x:v>
      </x:c>
      <x:c r="X131" s="20" t="n">
        <x:v>650</x:v>
      </x:c>
      <x:c r="Y131" s="20" t="n">
        <x:v>650</x:v>
      </x:c>
      <x:c r="Z131" s="20" t="n">
        <x:v>1950</x:v>
      </x:c>
      <x:c r="AA131" s="20" t="n">
        <x:v>3900</x:v>
      </x:c>
      <x:c r="AB131" s="12" t="str">
        <x:v>Registrado no histórico</x:v>
      </x:c>
      <x:c r="AC131" s="16" t="n">
        <x:v>7.5</x:v>
      </x:c>
      <x:c r="AD131" s="12" t="str">
        <x:v>AA+</x:v>
      </x:c>
      <x:c r="AE131" s="12" t="str">
        <x:v>Baixa</x:v>
      </x:c>
      <x:c r="AF131" s="12" t="str">
        <x:v>Joias femininas, pingentes, brincos</x:v>
      </x:c>
      <x:c r="AG131" s="12" t="str">
        <x:v>Joias femininas, pingentes, brincos</x:v>
      </x:c>
      <x:c r="AH131" s="12" t="str">
        <x:v>Coleção</x:v>
      </x:c>
      <x:c r="AI131" s="12" t="str"/>
      <x:c r="AJ131" s="12" t="str"/>
      <x:c r="AK131" s="12" t="str"/>
      <x:c r="AL131" s="12" t="str"/>
      <x:c r="AM131" s="12" t="str">
        <x:v>Não informado</x:v>
      </x:c>
      <x:c r="AN131" s="12" t="str"/>
      <x:c r="AO131" s="12" t="str">
        <x:v>2026-07-01</x:v>
      </x:c>
      <x:c r="AP131" s="12" t="str">
        <x:v>2026-07-19</x:v>
      </x:c>
      <x:c r="AQ131" s="12" t="str">
        <x:v>Média</x:v>
      </x:c>
      <x:c r="AR131" s="12" t="str">
        <x:v>Inventário mestre completo atualizado em 2026-07-01</x:v>
      </x:c>
      <x:c r="AS131" s="12" t="str">
        <x:v>Confirmar peso</x:v>
      </x:c>
      <x:c r="AT131" s="12" t="str">
        <x:v>Identificação visual como rodolita; pendente de confirmação.</x:v>
      </x:c>
    </x:row>
    <x:row r="132">
      <x:c r="A132" s="12" t="str">
        <x:v>DG-RD-002</x:v>
      </x:c>
      <x:c r="B132" s="12" t="str"/>
      <x:c r="C132" s="12" t="str">
        <x:v>Royal Collection</x:v>
      </x:c>
      <x:c r="D132" s="12" t="str">
        <x:v>Rodolitas</x:v>
      </x:c>
      <x:c r="E132" s="12" t="str">
        <x:v>Granada</x:v>
      </x:c>
      <x:c r="F132" s="12" t="str">
        <x:v>Rodolita provisória</x:v>
      </x:c>
      <x:c r="G132" s="12" t="str">
        <x:v>Gema individual</x:v>
      </x:c>
      <x:c r="H132" s="18" t="n">
        <x:v>1</x:v>
      </x:c>
      <x:c r="I132" s="12" t="str">
        <x:v>Oval</x:v>
      </x:c>
      <x:c r="J132" s="12" t="str">
        <x:v>7 x 5</x:v>
      </x:c>
      <x:c r="K132" s="14" t="n">
        <x:v>1.2</x:v>
      </x:c>
      <x:c r="L132" s="12" t="str">
        <x:v>Não</x:v>
      </x:c>
      <x:c r="M132" s="12" t="str">
        <x:v>Estimativa por medidas</x:v>
      </x:c>
      <x:c r="N132" s="12" t="str">
        <x:v>Vinho / framboesa / magenta</x:v>
      </x:c>
      <x:c r="O132" s="12" t="str">
        <x:v>Transparente a translúcida</x:v>
      </x:c>
      <x:c r="P132" s="12" t="str">
        <x:v>Bahia</x:v>
      </x:c>
      <x:c r="Q132" s="12" t="str">
        <x:v>Não avaliado / não informado</x:v>
      </x:c>
      <x:c r="R132" s="12" t="str">
        <x:v>Não</x:v>
      </x:c>
      <x:c r="S132" s="12" t="str"/>
      <x:c r="T132" s="12" t="str"/>
      <x:c r="U132" s="20"/>
      <x:c r="V132" s="20" t="n">
        <x:v>192</x:v>
      </x:c>
      <x:c r="W132" s="20" t="n">
        <x:v>350</x:v>
      </x:c>
      <x:c r="X132" s="20" t="n">
        <x:v>350</x:v>
      </x:c>
      <x:c r="Y132" s="20" t="n">
        <x:v>350</x:v>
      </x:c>
      <x:c r="Z132" s="20" t="n">
        <x:v>1050</x:v>
      </x:c>
      <x:c r="AA132" s="20" t="n">
        <x:v>2100</x:v>
      </x:c>
      <x:c r="AB132" s="12" t="str">
        <x:v>Registrado no histórico</x:v>
      </x:c>
      <x:c r="AC132" s="16" t="n">
        <x:v>7.5</x:v>
      </x:c>
      <x:c r="AD132" s="12" t="str">
        <x:v>AA+</x:v>
      </x:c>
      <x:c r="AE132" s="12" t="str">
        <x:v>Baixa</x:v>
      </x:c>
      <x:c r="AF132" s="12" t="str">
        <x:v>Joias femininas, pingentes, brincos</x:v>
      </x:c>
      <x:c r="AG132" s="12" t="str">
        <x:v>Joias femininas, pingentes, brincos</x:v>
      </x:c>
      <x:c r="AH132" s="12" t="str">
        <x:v>Coleção</x:v>
      </x:c>
      <x:c r="AI132" s="12" t="str"/>
      <x:c r="AJ132" s="12" t="str"/>
      <x:c r="AK132" s="12" t="str"/>
      <x:c r="AL132" s="12" t="str"/>
      <x:c r="AM132" s="12" t="str">
        <x:v>Não informado</x:v>
      </x:c>
      <x:c r="AN132" s="12" t="str"/>
      <x:c r="AO132" s="12" t="str">
        <x:v>2026-07-01</x:v>
      </x:c>
      <x:c r="AP132" s="12" t="str">
        <x:v>2026-07-19</x:v>
      </x:c>
      <x:c r="AQ132" s="12" t="str">
        <x:v>Média</x:v>
      </x:c>
      <x:c r="AR132" s="12" t="str">
        <x:v>Inventário mestre completo atualizado em 2026-07-01</x:v>
      </x:c>
      <x:c r="AS132" s="12" t="str">
        <x:v>Confirmar peso</x:v>
      </x:c>
      <x:c r="AT132" s="12" t="str">
        <x:v>Identificação visual como rodolita; pendente de confirmação.</x:v>
      </x:c>
    </x:row>
    <x:row r="133">
      <x:c r="A133" s="12" t="str">
        <x:v>DG-RD-003</x:v>
      </x:c>
      <x:c r="B133" s="12" t="str"/>
      <x:c r="C133" s="12" t="str">
        <x:v>Royal Collection</x:v>
      </x:c>
      <x:c r="D133" s="12" t="str">
        <x:v>Rodolitas</x:v>
      </x:c>
      <x:c r="E133" s="12" t="str">
        <x:v>Granada</x:v>
      </x:c>
      <x:c r="F133" s="12" t="str">
        <x:v>Rodolita provisória</x:v>
      </x:c>
      <x:c r="G133" s="12" t="str">
        <x:v>Gema individual</x:v>
      </x:c>
      <x:c r="H133" s="18" t="n">
        <x:v>1</x:v>
      </x:c>
      <x:c r="I133" s="12" t="str">
        <x:v>Oval</x:v>
      </x:c>
      <x:c r="J133" s="12" t="str">
        <x:v>6 x 5</x:v>
      </x:c>
      <x:c r="K133" s="14" t="n">
        <x:v>0.9</x:v>
      </x:c>
      <x:c r="L133" s="12" t="str">
        <x:v>Não</x:v>
      </x:c>
      <x:c r="M133" s="12" t="str">
        <x:v>Estimativa por medidas</x:v>
      </x:c>
      <x:c r="N133" s="12" t="str">
        <x:v>Vinho / framboesa / magenta</x:v>
      </x:c>
      <x:c r="O133" s="12" t="str">
        <x:v>Transparente a translúcida</x:v>
      </x:c>
      <x:c r="P133" s="12" t="str">
        <x:v>Bahia</x:v>
      </x:c>
      <x:c r="Q133" s="12" t="str">
        <x:v>Não avaliado / não informado</x:v>
      </x:c>
      <x:c r="R133" s="12" t="str">
        <x:v>Não</x:v>
      </x:c>
      <x:c r="S133" s="12" t="str"/>
      <x:c r="T133" s="12" t="str"/>
      <x:c r="U133" s="20"/>
      <x:c r="V133" s="20" t="n">
        <x:v>137</x:v>
      </x:c>
      <x:c r="W133" s="20" t="n">
        <x:v>250</x:v>
      </x:c>
      <x:c r="X133" s="20" t="n">
        <x:v>250</x:v>
      </x:c>
      <x:c r="Y133" s="20" t="n">
        <x:v>250</x:v>
      </x:c>
      <x:c r="Z133" s="20" t="n">
        <x:v>750</x:v>
      </x:c>
      <x:c r="AA133" s="20" t="n">
        <x:v>1500</x:v>
      </x:c>
      <x:c r="AB133" s="12" t="str">
        <x:v>Registrado no histórico</x:v>
      </x:c>
      <x:c r="AC133" s="16" t="n">
        <x:v>7.5</x:v>
      </x:c>
      <x:c r="AD133" s="12" t="str">
        <x:v>AA+</x:v>
      </x:c>
      <x:c r="AE133" s="12" t="str">
        <x:v>Baixa</x:v>
      </x:c>
      <x:c r="AF133" s="12" t="str">
        <x:v>Joias femininas, pingentes, brincos</x:v>
      </x:c>
      <x:c r="AG133" s="12" t="str">
        <x:v>Joias femininas, pingentes, brincos</x:v>
      </x:c>
      <x:c r="AH133" s="12" t="str">
        <x:v>Coleção</x:v>
      </x:c>
      <x:c r="AI133" s="12" t="str"/>
      <x:c r="AJ133" s="12" t="str"/>
      <x:c r="AK133" s="12" t="str"/>
      <x:c r="AL133" s="12" t="str"/>
      <x:c r="AM133" s="12" t="str">
        <x:v>Não informado</x:v>
      </x:c>
      <x:c r="AN133" s="12" t="str"/>
      <x:c r="AO133" s="12" t="str">
        <x:v>2026-07-01</x:v>
      </x:c>
      <x:c r="AP133" s="12" t="str">
        <x:v>2026-07-19</x:v>
      </x:c>
      <x:c r="AQ133" s="12" t="str">
        <x:v>Média</x:v>
      </x:c>
      <x:c r="AR133" s="12" t="str">
        <x:v>Inventário mestre completo atualizado em 2026-07-01</x:v>
      </x:c>
      <x:c r="AS133" s="12" t="str">
        <x:v>Confirmar peso</x:v>
      </x:c>
      <x:c r="AT133" s="12" t="str">
        <x:v>Identificação visual como rodolita; pendente de confirmação.</x:v>
      </x:c>
    </x:row>
    <x:row r="134">
      <x:c r="A134" s="12" t="str">
        <x:v>DG-RD-004</x:v>
      </x:c>
      <x:c r="B134" s="12" t="str"/>
      <x:c r="C134" s="12" t="str">
        <x:v>Royal Collection</x:v>
      </x:c>
      <x:c r="D134" s="12" t="str">
        <x:v>Rodolitas</x:v>
      </x:c>
      <x:c r="E134" s="12" t="str">
        <x:v>Granada</x:v>
      </x:c>
      <x:c r="F134" s="12" t="str">
        <x:v>Rodolita provisória</x:v>
      </x:c>
      <x:c r="G134" s="12" t="str">
        <x:v>Gema individual</x:v>
      </x:c>
      <x:c r="H134" s="18" t="n">
        <x:v>1</x:v>
      </x:c>
      <x:c r="I134" s="12" t="str">
        <x:v>Oval</x:v>
      </x:c>
      <x:c r="J134" s="12" t="str">
        <x:v>6 x 5</x:v>
      </x:c>
      <x:c r="K134" s="14" t="n">
        <x:v>0.9</x:v>
      </x:c>
      <x:c r="L134" s="12" t="str">
        <x:v>Não</x:v>
      </x:c>
      <x:c r="M134" s="12" t="str">
        <x:v>Estimativa por medidas</x:v>
      </x:c>
      <x:c r="N134" s="12" t="str">
        <x:v>Vinho / framboesa / magenta</x:v>
      </x:c>
      <x:c r="O134" s="12" t="str">
        <x:v>Transparente a translúcida</x:v>
      </x:c>
      <x:c r="P134" s="12" t="str">
        <x:v>Bahia</x:v>
      </x:c>
      <x:c r="Q134" s="12" t="str">
        <x:v>Não avaliado / não informado</x:v>
      </x:c>
      <x:c r="R134" s="12" t="str">
        <x:v>Não</x:v>
      </x:c>
      <x:c r="S134" s="12" t="str"/>
      <x:c r="T134" s="12" t="str"/>
      <x:c r="U134" s="20"/>
      <x:c r="V134" s="20" t="n">
        <x:v>137</x:v>
      </x:c>
      <x:c r="W134" s="20" t="n">
        <x:v>250</x:v>
      </x:c>
      <x:c r="X134" s="20" t="n">
        <x:v>250</x:v>
      </x:c>
      <x:c r="Y134" s="20" t="n">
        <x:v>250</x:v>
      </x:c>
      <x:c r="Z134" s="20" t="n">
        <x:v>750</x:v>
      </x:c>
      <x:c r="AA134" s="20" t="n">
        <x:v>1500</x:v>
      </x:c>
      <x:c r="AB134" s="12" t="str">
        <x:v>Registrado no histórico</x:v>
      </x:c>
      <x:c r="AC134" s="16" t="n">
        <x:v>7.5</x:v>
      </x:c>
      <x:c r="AD134" s="12" t="str">
        <x:v>AA+</x:v>
      </x:c>
      <x:c r="AE134" s="12" t="str">
        <x:v>Baixa</x:v>
      </x:c>
      <x:c r="AF134" s="12" t="str">
        <x:v>Joias femininas, pingentes, brincos</x:v>
      </x:c>
      <x:c r="AG134" s="12" t="str">
        <x:v>Joias femininas, pingentes, brincos</x:v>
      </x:c>
      <x:c r="AH134" s="12" t="str">
        <x:v>Coleção</x:v>
      </x:c>
      <x:c r="AI134" s="12" t="str"/>
      <x:c r="AJ134" s="12" t="str"/>
      <x:c r="AK134" s="12" t="str"/>
      <x:c r="AL134" s="12" t="str"/>
      <x:c r="AM134" s="12" t="str">
        <x:v>Não informado</x:v>
      </x:c>
      <x:c r="AN134" s="12" t="str"/>
      <x:c r="AO134" s="12" t="str">
        <x:v>2026-07-01</x:v>
      </x:c>
      <x:c r="AP134" s="12" t="str">
        <x:v>2026-07-19</x:v>
      </x:c>
      <x:c r="AQ134" s="12" t="str">
        <x:v>Média</x:v>
      </x:c>
      <x:c r="AR134" s="12" t="str">
        <x:v>Inventário mestre completo atualizado em 2026-07-01</x:v>
      </x:c>
      <x:c r="AS134" s="12" t="str">
        <x:v>Confirmar peso</x:v>
      </x:c>
      <x:c r="AT134" s="12" t="str">
        <x:v>Identificação visual como rodolita; pendente de confirmação.</x:v>
      </x:c>
    </x:row>
    <x:row r="135">
      <x:c r="A135" s="12" t="str">
        <x:v>DG-RD-005</x:v>
      </x:c>
      <x:c r="B135" s="12" t="str"/>
      <x:c r="C135" s="12" t="str">
        <x:v>Royal Collection</x:v>
      </x:c>
      <x:c r="D135" s="12" t="str">
        <x:v>Rodolitas</x:v>
      </x:c>
      <x:c r="E135" s="12" t="str">
        <x:v>Granada</x:v>
      </x:c>
      <x:c r="F135" s="12" t="str">
        <x:v>Rodolita provisória</x:v>
      </x:c>
      <x:c r="G135" s="12" t="str">
        <x:v>Gema individual</x:v>
      </x:c>
      <x:c r="H135" s="18" t="n">
        <x:v>1</x:v>
      </x:c>
      <x:c r="I135" s="12" t="str">
        <x:v>Oval</x:v>
      </x:c>
      <x:c r="J135" s="12" t="str">
        <x:v>6 x 5</x:v>
      </x:c>
      <x:c r="K135" s="14" t="n">
        <x:v>0.9</x:v>
      </x:c>
      <x:c r="L135" s="12" t="str">
        <x:v>Não</x:v>
      </x:c>
      <x:c r="M135" s="12" t="str">
        <x:v>Estimativa por medidas</x:v>
      </x:c>
      <x:c r="N135" s="12" t="str">
        <x:v>Vinho / framboesa / magenta</x:v>
      </x:c>
      <x:c r="O135" s="12" t="str">
        <x:v>Transparente a translúcida</x:v>
      </x:c>
      <x:c r="P135" s="12" t="str">
        <x:v>Bahia</x:v>
      </x:c>
      <x:c r="Q135" s="12" t="str">
        <x:v>Não avaliado / não informado</x:v>
      </x:c>
      <x:c r="R135" s="12" t="str">
        <x:v>Não</x:v>
      </x:c>
      <x:c r="S135" s="12" t="str"/>
      <x:c r="T135" s="12" t="str"/>
      <x:c r="U135" s="20"/>
      <x:c r="V135" s="20" t="n">
        <x:v>137</x:v>
      </x:c>
      <x:c r="W135" s="20" t="n">
        <x:v>250</x:v>
      </x:c>
      <x:c r="X135" s="20" t="n">
        <x:v>250</x:v>
      </x:c>
      <x:c r="Y135" s="20" t="n">
        <x:v>250</x:v>
      </x:c>
      <x:c r="Z135" s="20" t="n">
        <x:v>750</x:v>
      </x:c>
      <x:c r="AA135" s="20" t="n">
        <x:v>1500</x:v>
      </x:c>
      <x:c r="AB135" s="12" t="str">
        <x:v>Registrado no histórico</x:v>
      </x:c>
      <x:c r="AC135" s="16" t="n">
        <x:v>7.5</x:v>
      </x:c>
      <x:c r="AD135" s="12" t="str">
        <x:v>AA+</x:v>
      </x:c>
      <x:c r="AE135" s="12" t="str">
        <x:v>Baixa</x:v>
      </x:c>
      <x:c r="AF135" s="12" t="str">
        <x:v>Joias femininas, pingentes, brincos</x:v>
      </x:c>
      <x:c r="AG135" s="12" t="str">
        <x:v>Joias femininas, pingentes, brincos</x:v>
      </x:c>
      <x:c r="AH135" s="12" t="str">
        <x:v>Coleção</x:v>
      </x:c>
      <x:c r="AI135" s="12" t="str"/>
      <x:c r="AJ135" s="12" t="str"/>
      <x:c r="AK135" s="12" t="str"/>
      <x:c r="AL135" s="12" t="str"/>
      <x:c r="AM135" s="12" t="str">
        <x:v>Não informado</x:v>
      </x:c>
      <x:c r="AN135" s="12" t="str"/>
      <x:c r="AO135" s="12" t="str">
        <x:v>2026-07-01</x:v>
      </x:c>
      <x:c r="AP135" s="12" t="str">
        <x:v>2026-07-19</x:v>
      </x:c>
      <x:c r="AQ135" s="12" t="str">
        <x:v>Média</x:v>
      </x:c>
      <x:c r="AR135" s="12" t="str">
        <x:v>Inventário mestre completo atualizado em 2026-07-01</x:v>
      </x:c>
      <x:c r="AS135" s="12" t="str">
        <x:v>Confirmar peso</x:v>
      </x:c>
      <x:c r="AT135" s="12" t="str">
        <x:v>Identificação visual como rodolita; pendente de confirmação.</x:v>
      </x:c>
    </x:row>
    <x:row r="136">
      <x:c r="A136" s="12" t="str">
        <x:v>DG-RD-006</x:v>
      </x:c>
      <x:c r="B136" s="12" t="str"/>
      <x:c r="C136" s="12" t="str">
        <x:v>Royal Collection</x:v>
      </x:c>
      <x:c r="D136" s="12" t="str">
        <x:v>Rodolitas</x:v>
      </x:c>
      <x:c r="E136" s="12" t="str">
        <x:v>Granada</x:v>
      </x:c>
      <x:c r="F136" s="12" t="str">
        <x:v>Rodolita provisória</x:v>
      </x:c>
      <x:c r="G136" s="12" t="str">
        <x:v>Gema individual</x:v>
      </x:c>
      <x:c r="H136" s="18" t="n">
        <x:v>1</x:v>
      </x:c>
      <x:c r="I136" s="12" t="str">
        <x:v>Quadrada/Princesa</x:v>
      </x:c>
      <x:c r="J136" s="12" t="str">
        <x:v>5 x 5</x:v>
      </x:c>
      <x:c r="K136" s="14" t="n">
        <x:v>0.75</x:v>
      </x:c>
      <x:c r="L136" s="12" t="str">
        <x:v>Não</x:v>
      </x:c>
      <x:c r="M136" s="12" t="str">
        <x:v>Estimativa por medidas</x:v>
      </x:c>
      <x:c r="N136" s="12" t="str">
        <x:v>Vinho / framboesa / magenta</x:v>
      </x:c>
      <x:c r="O136" s="12" t="str">
        <x:v>Transparente a translúcida</x:v>
      </x:c>
      <x:c r="P136" s="12" t="str">
        <x:v>Bahia</x:v>
      </x:c>
      <x:c r="Q136" s="12" t="str">
        <x:v>Não avaliado / não informado</x:v>
      </x:c>
      <x:c r="R136" s="12" t="str">
        <x:v>Não</x:v>
      </x:c>
      <x:c r="S136" s="12" t="str"/>
      <x:c r="T136" s="12" t="str"/>
      <x:c r="U136" s="20"/>
      <x:c r="V136" s="20" t="n">
        <x:v>121</x:v>
      </x:c>
      <x:c r="W136" s="20" t="n">
        <x:v>220</x:v>
      </x:c>
      <x:c r="X136" s="20" t="n">
        <x:v>220</x:v>
      </x:c>
      <x:c r="Y136" s="20" t="n">
        <x:v>220</x:v>
      </x:c>
      <x:c r="Z136" s="20" t="n">
        <x:v>660</x:v>
      </x:c>
      <x:c r="AA136" s="20" t="n">
        <x:v>1320</x:v>
      </x:c>
      <x:c r="AB136" s="12" t="str">
        <x:v>Registrado no histórico</x:v>
      </x:c>
      <x:c r="AC136" s="16" t="n">
        <x:v>7.5</x:v>
      </x:c>
      <x:c r="AD136" s="12" t="str">
        <x:v>AA+</x:v>
      </x:c>
      <x:c r="AE136" s="12" t="str">
        <x:v>Baixa</x:v>
      </x:c>
      <x:c r="AF136" s="12" t="str">
        <x:v>Joias femininas, pingentes, brincos</x:v>
      </x:c>
      <x:c r="AG136" s="12" t="str">
        <x:v>Joias femininas, pingentes, brincos</x:v>
      </x:c>
      <x:c r="AH136" s="12" t="str">
        <x:v>Coleção</x:v>
      </x:c>
      <x:c r="AI136" s="12" t="str"/>
      <x:c r="AJ136" s="12" t="str"/>
      <x:c r="AK136" s="12" t="str"/>
      <x:c r="AL136" s="12" t="str"/>
      <x:c r="AM136" s="12" t="str">
        <x:v>Não informado</x:v>
      </x:c>
      <x:c r="AN136" s="12" t="str"/>
      <x:c r="AO136" s="12" t="str">
        <x:v>2026-07-01</x:v>
      </x:c>
      <x:c r="AP136" s="12" t="str">
        <x:v>2026-07-19</x:v>
      </x:c>
      <x:c r="AQ136" s="12" t="str">
        <x:v>Média</x:v>
      </x:c>
      <x:c r="AR136" s="12" t="str">
        <x:v>Inventário mestre completo atualizado em 2026-07-01</x:v>
      </x:c>
      <x:c r="AS136" s="12" t="str">
        <x:v>Confirmar peso</x:v>
      </x:c>
      <x:c r="AT136" s="12" t="str">
        <x:v>Identificação visual como rodolita; pendente de confirmação.</x:v>
      </x:c>
    </x:row>
    <x:row r="137">
      <x:c r="A137" s="12" t="str">
        <x:v>DG-RD-007</x:v>
      </x:c>
      <x:c r="B137" s="12" t="str"/>
      <x:c r="C137" s="12" t="str">
        <x:v>Royal Collection</x:v>
      </x:c>
      <x:c r="D137" s="12" t="str">
        <x:v>Rodolitas</x:v>
      </x:c>
      <x:c r="E137" s="12" t="str">
        <x:v>Granada</x:v>
      </x:c>
      <x:c r="F137" s="12" t="str">
        <x:v>Rodolita provisória</x:v>
      </x:c>
      <x:c r="G137" s="12" t="str">
        <x:v>Gema individual</x:v>
      </x:c>
      <x:c r="H137" s="18" t="n">
        <x:v>1</x:v>
      </x:c>
      <x:c r="I137" s="12" t="str">
        <x:v>Redonda</x:v>
      </x:c>
      <x:c r="J137" s="12" t="str">
        <x:v>5 x 5</x:v>
      </x:c>
      <x:c r="K137" s="14" t="n">
        <x:v>0.6</x:v>
      </x:c>
      <x:c r="L137" s="12" t="str">
        <x:v>Não</x:v>
      </x:c>
      <x:c r="M137" s="12" t="str">
        <x:v>Estimativa por medidas</x:v>
      </x:c>
      <x:c r="N137" s="12" t="str">
        <x:v>Vinho / framboesa / magenta</x:v>
      </x:c>
      <x:c r="O137" s="12" t="str">
        <x:v>Transparente a translúcida</x:v>
      </x:c>
      <x:c r="P137" s="12" t="str">
        <x:v>Bahia</x:v>
      </x:c>
      <x:c r="Q137" s="12" t="str">
        <x:v>Não avaliado / não informado</x:v>
      </x:c>
      <x:c r="R137" s="12" t="str">
        <x:v>Não</x:v>
      </x:c>
      <x:c r="S137" s="12" t="str"/>
      <x:c r="T137" s="12" t="str"/>
      <x:c r="U137" s="20"/>
      <x:c r="V137" s="20" t="n">
        <x:v>99</x:v>
      </x:c>
      <x:c r="W137" s="20" t="n">
        <x:v>180</x:v>
      </x:c>
      <x:c r="X137" s="20" t="n">
        <x:v>180</x:v>
      </x:c>
      <x:c r="Y137" s="20" t="n">
        <x:v>180</x:v>
      </x:c>
      <x:c r="Z137" s="20" t="n">
        <x:v>540</x:v>
      </x:c>
      <x:c r="AA137" s="20" t="n">
        <x:v>1080</x:v>
      </x:c>
      <x:c r="AB137" s="12" t="str">
        <x:v>Registrado no histórico</x:v>
      </x:c>
      <x:c r="AC137" s="16" t="n">
        <x:v>7.5</x:v>
      </x:c>
      <x:c r="AD137" s="12" t="str">
        <x:v>AA+</x:v>
      </x:c>
      <x:c r="AE137" s="12" t="str">
        <x:v>Baixa</x:v>
      </x:c>
      <x:c r="AF137" s="12" t="str">
        <x:v>Joias femininas, pingentes, brincos</x:v>
      </x:c>
      <x:c r="AG137" s="12" t="str">
        <x:v>Joias femininas, pingentes, brincos</x:v>
      </x:c>
      <x:c r="AH137" s="12" t="str">
        <x:v>Coleção</x:v>
      </x:c>
      <x:c r="AI137" s="12" t="str"/>
      <x:c r="AJ137" s="12" t="str"/>
      <x:c r="AK137" s="12" t="str"/>
      <x:c r="AL137" s="12" t="str"/>
      <x:c r="AM137" s="12" t="str">
        <x:v>Não informado</x:v>
      </x:c>
      <x:c r="AN137" s="12" t="str"/>
      <x:c r="AO137" s="12" t="str">
        <x:v>2026-07-01</x:v>
      </x:c>
      <x:c r="AP137" s="12" t="str">
        <x:v>2026-07-19</x:v>
      </x:c>
      <x:c r="AQ137" s="12" t="str">
        <x:v>Média</x:v>
      </x:c>
      <x:c r="AR137" s="12" t="str">
        <x:v>Inventário mestre completo atualizado em 2026-07-01</x:v>
      </x:c>
      <x:c r="AS137" s="12" t="str">
        <x:v>Confirmar peso</x:v>
      </x:c>
      <x:c r="AT137" s="12" t="str">
        <x:v>Identificação visual como rodolita; pendente de confirmação.</x:v>
      </x:c>
    </x:row>
    <x:row r="138">
      <x:c r="A138" s="12" t="str">
        <x:v>DG-GR-001</x:v>
      </x:c>
      <x:c r="B138" s="12" t="str"/>
      <x:c r="C138" s="12" t="str">
        <x:v>Garnet Collection</x:v>
      </x:c>
      <x:c r="D138" s="12" t="str">
        <x:v>Granadas</x:v>
      </x:c>
      <x:c r="E138" s="12" t="str">
        <x:v>Granada</x:v>
      </x:c>
      <x:c r="F138" s="12" t="str">
        <x:v>Almandina/Piropo provável</x:v>
      </x:c>
      <x:c r="G138" s="12" t="str">
        <x:v>Lote</x:v>
      </x:c>
      <x:c r="H138" s="18" t="n">
        <x:v>15</x:v>
      </x:c>
      <x:c r="I138" s="12" t="str">
        <x:v>Ovais + 1 retangular</x:v>
      </x:c>
      <x:c r="J138" s="12" t="str">
        <x:v>Ovais 6x5; retangular 6x4</x:v>
      </x:c>
      <x:c r="K138" s="14" t="n">
        <x:v>7.49</x:v>
      </x:c>
      <x:c r="L138" s="12" t="str">
        <x:v>Sim (calculado)</x:v>
      </x:c>
      <x:c r="M138" s="12" t="str">
        <x:v>14 ovais × 0,485 ct + 1 retangular × 0,700 ct</x:v>
      </x:c>
      <x:c r="N138" s="12" t="str">
        <x:v>Vermelho conhaque / canela</x:v>
      </x:c>
      <x:c r="O138" s="12" t="str">
        <x:v>Transparente a translúcida</x:v>
      </x:c>
      <x:c r="P138" s="12" t="str"/>
      <x:c r="Q138" s="12" t="str">
        <x:v>Não avaliado / não informado</x:v>
      </x:c>
      <x:c r="R138" s="12" t="str">
        <x:v>Não</x:v>
      </x:c>
      <x:c r="S138" s="12" t="str"/>
      <x:c r="T138" s="12" t="str"/>
      <x:c r="U138" s="20" t="n">
        <x:v>150</x:v>
      </x:c>
      <x:c r="V138" s="20" t="n">
        <x:v>600</x:v>
      </x:c>
      <x:c r="W138" s="20" t="n">
        <x:v>1200</x:v>
      </x:c>
      <x:c r="X138" s="20" t="n">
        <x:v>600</x:v>
      </x:c>
      <x:c r="Y138" s="20" t="n">
        <x:v>1200</x:v>
      </x:c>
      <x:c r="Z138" s="20" t="n">
        <x:v>4000</x:v>
      </x:c>
      <x:c r="AA138" s="20" t="n">
        <x:v>10000</x:v>
      </x:c>
      <x:c r="AB138" s="12" t="str">
        <x:v>Registrado no histórico</x:v>
      </x:c>
      <x:c r="AC138" s="16" t="n">
        <x:v>7.6</x:v>
      </x:c>
      <x:c r="AD138" s="12" t="str">
        <x:v>B+</x:v>
      </x:c>
      <x:c r="AE138" s="12" t="str">
        <x:v>Baixa</x:v>
      </x:c>
      <x:c r="AF138" s="12" t="str">
        <x:v>Anéis masculinos, brincos, pingentes vintage</x:v>
      </x:c>
      <x:c r="AG138" s="12" t="str">
        <x:v>Anéis masculinos, brincos, pingentes vintage</x:v>
      </x:c>
      <x:c r="AH138" s="12" t="str">
        <x:v>Coleção</x:v>
      </x:c>
      <x:c r="AI138" s="12" t="str"/>
      <x:c r="AJ138" s="12" t="str"/>
      <x:c r="AK138" s="12" t="str"/>
      <x:c r="AL138" s="12" t="str"/>
      <x:c r="AM138" s="12" t="str">
        <x:v>Não informado</x:v>
      </x:c>
      <x:c r="AN138" s="12" t="str"/>
      <x:c r="AO138" s="12" t="str">
        <x:v>2026-07-01</x:v>
      </x:c>
      <x:c r="AP138" s="12" t="str">
        <x:v>2026-07-19</x:v>
      </x:c>
      <x:c r="AQ138" s="12" t="str">
        <x:v>Alta</x:v>
      </x:c>
      <x:c r="AR138" s="12" t="str">
        <x:v>Inventário mestre completo atualizado em 2026-07-01</x:v>
      </x:c>
      <x:c r="AS138" s="12" t="str">
        <x:v>Confirmar identificação em laboratório</x:v>
      </x:c>
      <x:c r="AT138" s="12" t="str">
        <x:v>Quantidade visual aproximada; confirmar posteriormente. Composição atualizada: 14 granadas ovais com média de 0,485 ct e 1 granada retangular de 0,700 ct. Peso total do lote: 7,490 ct.</x:v>
      </x:c>
    </x:row>
    <x:row r="139">
      <x:c r="A139" s="12" t="str">
        <x:v>DG-TB-001</x:v>
      </x:c>
      <x:c r="B139" s="12" t="str"/>
      <x:c r="C139" s="12" t="str">
        <x:v>Classic Collection</x:v>
      </x:c>
      <x:c r="D139" s="12" t="str">
        <x:v>Topázios</x:v>
      </x:c>
      <x:c r="E139" s="12" t="str">
        <x:v>Topázio</x:v>
      </x:c>
      <x:c r="F139" s="12" t="str">
        <x:v>Azul</x:v>
      </x:c>
      <x:c r="G139" s="12" t="str">
        <x:v>Gema individual</x:v>
      </x:c>
      <x:c r="H139" s="18" t="n">
        <x:v>1</x:v>
      </x:c>
      <x:c r="I139" s="12" t="str">
        <x:v>Oval</x:v>
      </x:c>
      <x:c r="J139" s="12" t="str">
        <x:v>7 x 5</x:v>
      </x:c>
      <x:c r="K139" s="14" t="n">
        <x:v>0.95</x:v>
      </x:c>
      <x:c r="L139" s="12" t="str">
        <x:v>Não</x:v>
      </x:c>
      <x:c r="M139" s="12" t="str">
        <x:v>Estimativa por medidas</x:v>
      </x:c>
      <x:c r="N139" s="12" t="str">
        <x:v>Sky Blue</x:v>
      </x:c>
      <x:c r="O139" s="12" t="str">
        <x:v>Transparente</x:v>
      </x:c>
      <x:c r="P139" s="12" t="str"/>
      <x:c r="Q139" s="12" t="str">
        <x:v>Não avaliado / não informado</x:v>
      </x:c>
      <x:c r="R139" s="12" t="str">
        <x:v>Não</x:v>
      </x:c>
      <x:c r="S139" s="12" t="str"/>
      <x:c r="T139" s="12" t="str"/>
      <x:c r="U139" s="20"/>
      <x:c r="V139" s="20" t="n">
        <x:v>180</x:v>
      </x:c>
      <x:c r="W139" s="20" t="n">
        <x:v>350</x:v>
      </x:c>
      <x:c r="X139" s="20" t="n">
        <x:v>180</x:v>
      </x:c>
      <x:c r="Y139" s="20" t="n">
        <x:v>350</x:v>
      </x:c>
      <x:c r="Z139" s="20" t="n">
        <x:v>900</x:v>
      </x:c>
      <x:c r="AA139" s="20" t="n">
        <x:v>2200</x:v>
      </x:c>
      <x:c r="AB139" s="12" t="str">
        <x:v>Registrado no histórico</x:v>
      </x:c>
      <x:c r="AC139" s="16" t="n">
        <x:v>7.4</x:v>
      </x:c>
      <x:c r="AD139" s="12" t="str">
        <x:v>B</x:v>
      </x:c>
      <x:c r="AE139" s="12" t="str">
        <x:v>Baixa</x:v>
      </x:c>
      <x:c r="AF139" s="12" t="str">
        <x:v>Anel solitário / pingente</x:v>
      </x:c>
      <x:c r="AG139" s="12" t="str">
        <x:v>Anel solitário / pingente</x:v>
      </x:c>
      <x:c r="AH139" s="12" t="str">
        <x:v>Coleção</x:v>
      </x:c>
      <x:c r="AI139" s="12" t="str"/>
      <x:c r="AJ139" s="12" t="str"/>
      <x:c r="AK139" s="12" t="str"/>
      <x:c r="AL139" s="12" t="str"/>
      <x:c r="AM139" s="12" t="str">
        <x:v>Não informado</x:v>
      </x:c>
      <x:c r="AN139" s="12" t="str"/>
      <x:c r="AO139" s="12" t="str">
        <x:v>2026-07-01</x:v>
      </x:c>
      <x:c r="AP139" s="12" t="str">
        <x:v>2026-07-19</x:v>
      </x:c>
      <x:c r="AQ139" s="12" t="str">
        <x:v>Média</x:v>
      </x:c>
      <x:c r="AR139" s="12" t="str">
        <x:v>Inventário mestre completo atualizado em 2026-07-01</x:v>
      </x:c>
      <x:c r="AS139" s="12" t="str">
        <x:v>Confirmar peso</x:v>
      </x:c>
      <x:c r="AT139" s="12" t="str"/>
    </x:row>
    <x:row r="140">
      <x:c r="A140" s="12" t="str">
        <x:v>DG-TB-002</x:v>
      </x:c>
      <x:c r="B140" s="12" t="str"/>
      <x:c r="C140" s="12" t="str">
        <x:v>Classic Collection</x:v>
      </x:c>
      <x:c r="D140" s="12" t="str">
        <x:v>Topázios</x:v>
      </x:c>
      <x:c r="E140" s="12" t="str">
        <x:v>Topázio</x:v>
      </x:c>
      <x:c r="F140" s="12" t="str">
        <x:v>Azul</x:v>
      </x:c>
      <x:c r="G140" s="12" t="str">
        <x:v>Lote</x:v>
      </x:c>
      <x:c r="H140" s="18" t="n">
        <x:v>6</x:v>
      </x:c>
      <x:c r="I140" s="12" t="str">
        <x:v>3 redondas + trillion + princess + retangular</x:v>
      </x:c>
      <x:c r="J140" s="12" t="str">
        <x:v>5x5; retangular 7x5</x:v>
      </x:c>
      <x:c r="K140" s="14" t="n">
        <x:v>3.8</x:v>
      </x:c>
      <x:c r="L140" s="12" t="str">
        <x:v>Não</x:v>
      </x:c>
      <x:c r="M140" s="12" t="str">
        <x:v>Estimativa por medidas</x:v>
      </x:c>
      <x:c r="N140" s="12" t="str">
        <x:v>Sky Blue</x:v>
      </x:c>
      <x:c r="O140" s="12" t="str">
        <x:v>Transparente</x:v>
      </x:c>
      <x:c r="P140" s="12" t="str"/>
      <x:c r="Q140" s="12" t="str">
        <x:v>Não avaliado / não informado</x:v>
      </x:c>
      <x:c r="R140" s="12" t="str">
        <x:v>Não</x:v>
      </x:c>
      <x:c r="S140" s="12" t="str"/>
      <x:c r="T140" s="12" t="str"/>
      <x:c r="U140" s="20"/>
      <x:c r="V140" s="20" t="n">
        <x:v>1220</x:v>
      </x:c>
      <x:c r="W140" s="20" t="n">
        <x:v>2350</x:v>
      </x:c>
      <x:c r="X140" s="20" t="n">
        <x:v>1220</x:v>
      </x:c>
      <x:c r="Y140" s="20" t="n">
        <x:v>2350</x:v>
      </x:c>
      <x:c r="Z140" s="20" t="n">
        <x:v>7100</x:v>
      </x:c>
      <x:c r="AA140" s="20" t="n">
        <x:v>15800</x:v>
      </x:c>
      <x:c r="AB140" s="12" t="str">
        <x:v>Registrado no histórico</x:v>
      </x:c>
      <x:c r="AC140" s="16" t="n">
        <x:v>7.3</x:v>
      </x:c>
      <x:c r="AD140" s="12" t="str">
        <x:v>B</x:v>
      </x:c>
      <x:c r="AE140" s="12" t="str">
        <x:v>Baixa</x:v>
      </x:c>
      <x:c r="AF140" s="12" t="str">
        <x:v>Coleção Geometry / Ocean / Ice</x:v>
      </x:c>
      <x:c r="AG140" s="12" t="str">
        <x:v>Coleção Geometry / Ocean / Ice</x:v>
      </x:c>
      <x:c r="AH140" s="12" t="str">
        <x:v>Coleção</x:v>
      </x:c>
      <x:c r="AI140" s="12" t="str"/>
      <x:c r="AJ140" s="12" t="str"/>
      <x:c r="AK140" s="12" t="str"/>
      <x:c r="AL140" s="12" t="str"/>
      <x:c r="AM140" s="12" t="str">
        <x:v>Não informado</x:v>
      </x:c>
      <x:c r="AN140" s="12" t="str"/>
      <x:c r="AO140" s="12" t="str">
        <x:v>2026-07-01</x:v>
      </x:c>
      <x:c r="AP140" s="12" t="str">
        <x:v>2026-07-19</x:v>
      </x:c>
      <x:c r="AQ140" s="12" t="str">
        <x:v>Média</x:v>
      </x:c>
      <x:c r="AR140" s="12" t="str">
        <x:v>Inventário mestre completo atualizado em 2026-07-01</x:v>
      </x:c>
      <x:c r="AS140" s="12" t="str">
        <x:v>Confirmar peso</x:v>
      </x:c>
      <x:c r="AT140" s="12" t="str"/>
    </x:row>
    <x:row r="141">
      <x:c r="A141" s="12" t="str">
        <x:v>DG-TI-001</x:v>
      </x:c>
      <x:c r="B141" s="12" t="str"/>
      <x:c r="C141" s="12" t="str">
        <x:v>Imperial Collection</x:v>
      </x:c>
      <x:c r="D141" s="12" t="str">
        <x:v>Topázios</x:v>
      </x:c>
      <x:c r="E141" s="12" t="str">
        <x:v>Topázio</x:v>
      </x:c>
      <x:c r="F141" s="12" t="str">
        <x:v>Imperial</x:v>
      </x:c>
      <x:c r="G141" s="12" t="str">
        <x:v>Gema individual</x:v>
      </x:c>
      <x:c r="H141" s="18" t="n">
        <x:v>1</x:v>
      </x:c>
      <x:c r="I141" s="12" t="str">
        <x:v>Gota</x:v>
      </x:c>
      <x:c r="J141" s="12" t="str">
        <x:v>10 x 5</x:v>
      </x:c>
      <x:c r="K141" s="14" t="n">
        <x:v>1.85</x:v>
      </x:c>
      <x:c r="L141" s="12" t="str">
        <x:v>Não</x:v>
      </x:c>
      <x:c r="M141" s="12" t="str">
        <x:v>Estimativa por medidas</x:v>
      </x:c>
      <x:c r="N141" s="12" t="str">
        <x:v>Champagne / Laranja Dourado / Conhaque</x:v>
      </x:c>
      <x:c r="O141" s="12" t="str">
        <x:v>Transparente</x:v>
      </x:c>
      <x:c r="P141" s="12" t="str">
        <x:v>Brasil</x:v>
      </x:c>
      <x:c r="Q141" s="12" t="str">
        <x:v>Não avaliado / não informado</x:v>
      </x:c>
      <x:c r="R141" s="12" t="str">
        <x:v>Não</x:v>
      </x:c>
      <x:c r="S141" s="12" t="str"/>
      <x:c r="T141" s="12" t="str"/>
      <x:c r="U141" s="20"/>
      <x:c r="V141" s="20" t="n">
        <x:v>2500</x:v>
      </x:c>
      <x:c r="W141" s="20" t="n">
        <x:v>4000</x:v>
      </x:c>
      <x:c r="X141" s="20" t="n">
        <x:v>4500</x:v>
      </x:c>
      <x:c r="Y141" s="20" t="n">
        <x:v>7500</x:v>
      </x:c>
      <x:c r="Z141" s="20" t="n">
        <x:v>7000</x:v>
      </x:c>
      <x:c r="AA141" s="20" t="n">
        <x:v>10000</x:v>
      </x:c>
      <x:c r="AB141" s="12" t="str">
        <x:v>Registrado no histórico</x:v>
      </x:c>
      <x:c r="AC141" s="16" t="n">
        <x:v>8.8</x:v>
      </x:c>
      <x:c r="AD141" s="12" t="str">
        <x:v>A-</x:v>
      </x:c>
      <x:c r="AE141" s="12" t="str">
        <x:v>Média</x:v>
      </x:c>
      <x:c r="AF141" s="12" t="str">
        <x:v>Pingente premium com Paraíba/diamantes</x:v>
      </x:c>
      <x:c r="AG141" s="12" t="str">
        <x:v>Pingente premium com Paraíba/diamantes</x:v>
      </x:c>
      <x:c r="AH141" s="12" t="str">
        <x:v>Coleção</x:v>
      </x:c>
      <x:c r="AI141" s="12" t="str"/>
      <x:c r="AJ141" s="12" t="str"/>
      <x:c r="AK141" s="12" t="str"/>
      <x:c r="AL141" s="12" t="str"/>
      <x:c r="AM141" s="12" t="str">
        <x:v>Não informado</x:v>
      </x:c>
      <x:c r="AN141" s="12" t="str"/>
      <x:c r="AO141" s="12" t="str">
        <x:v>2026-07-01</x:v>
      </x:c>
      <x:c r="AP141" s="12" t="str">
        <x:v>2026-07-19</x:v>
      </x:c>
      <x:c r="AQ141" s="12" t="str">
        <x:v>Média</x:v>
      </x:c>
      <x:c r="AR141" s="12" t="str">
        <x:v>Inventário mestre completo atualizado em 2026-07-01</x:v>
      </x:c>
      <x:c r="AS141" s="12" t="str">
        <x:v>Confirmar peso; Avaliar certificação</x:v>
      </x:c>
      <x:c r="AT141" s="12" t="str">
        <x:v>Atualizar quando houver peso real.</x:v>
      </x:c>
    </x:row>
    <x:row r="142">
      <x:c r="A142" s="12" t="str">
        <x:v>DG-AM-001</x:v>
      </x:c>
      <x:c r="B142" s="12" t="str"/>
      <x:c r="C142" s="12" t="str">
        <x:v>Classic Collection</x:v>
      </x:c>
      <x:c r="D142" s="12" t="str">
        <x:v>Ametistas</x:v>
      </x:c>
      <x:c r="E142" s="12" t="str">
        <x:v>Ametista</x:v>
      </x:c>
      <x:c r="F142" s="12" t="str">
        <x:v>Natural</x:v>
      </x:c>
      <x:c r="G142" s="12" t="str">
        <x:v>Lote</x:v>
      </x:c>
      <x:c r="H142" s="18" t="n">
        <x:v>9</x:v>
      </x:c>
      <x:c r="I142" s="12" t="str">
        <x:v>Coração</x:v>
      </x:c>
      <x:c r="J142" s="12" t="str">
        <x:v>5 x 5 cada</x:v>
      </x:c>
      <x:c r="K142" s="14" t="n">
        <x:v>4.68</x:v>
      </x:c>
      <x:c r="L142" s="12" t="str">
        <x:v>Não</x:v>
      </x:c>
      <x:c r="M142" s="12" t="str">
        <x:v>Estimativa por medidas</x:v>
      </x:c>
      <x:c r="N142" s="12" t="str">
        <x:v>Roxo médio/intenso/lavanda</x:v>
      </x:c>
      <x:c r="O142" s="12" t="str">
        <x:v>Transparente</x:v>
      </x:c>
      <x:c r="P142" s="12" t="str"/>
      <x:c r="Q142" s="12" t="str">
        <x:v>Não avaliado / não informado</x:v>
      </x:c>
      <x:c r="R142" s="12" t="str">
        <x:v>Não</x:v>
      </x:c>
      <x:c r="S142" s="12" t="str"/>
      <x:c r="T142" s="12" t="str"/>
      <x:c r="U142" s="20" t="n">
        <x:v>112.5</x:v>
      </x:c>
      <x:c r="V142" s="20" t="n">
        <x:v>315</x:v>
      </x:c>
      <x:c r="W142" s="20" t="n">
        <x:v>720</x:v>
      </x:c>
      <x:c r="X142" s="20" t="n">
        <x:v>315</x:v>
      </x:c>
      <x:c r="Y142" s="20" t="n">
        <x:v>720</x:v>
      </x:c>
      <x:c r="Z142" s="20" t="n">
        <x:v>1500</x:v>
      </x:c>
      <x:c r="AA142" s="20" t="n">
        <x:v>4500</x:v>
      </x:c>
      <x:c r="AB142" s="12" t="str">
        <x:v>Registrado no histórico</x:v>
      </x:c>
      <x:c r="AC142" s="16" t="n">
        <x:v>7.8</x:v>
      </x:c>
      <x:c r="AD142" s="12" t="str">
        <x:v>B</x:v>
      </x:c>
      <x:c r="AE142" s="12" t="str">
        <x:v>Baixa</x:v>
      </x:c>
      <x:c r="AF142" s="12" t="str">
        <x:v>Brincos, pulseira, colar Floating Hearts</x:v>
      </x:c>
      <x:c r="AG142" s="12" t="str">
        <x:v>Brincos, pulseira, colar Floating Hearts</x:v>
      </x:c>
      <x:c r="AH142" s="12" t="str">
        <x:v>Coleção</x:v>
      </x:c>
      <x:c r="AI142" s="12" t="str"/>
      <x:c r="AJ142" s="12" t="str"/>
      <x:c r="AK142" s="12" t="str"/>
      <x:c r="AL142" s="12" t="str"/>
      <x:c r="AM142" s="12" t="str">
        <x:v>Não informado</x:v>
      </x:c>
      <x:c r="AN142" s="12" t="str"/>
      <x:c r="AO142" s="12" t="str">
        <x:v>2026-07-01</x:v>
      </x:c>
      <x:c r="AP142" s="12" t="str">
        <x:v>2026-07-19</x:v>
      </x:c>
      <x:c r="AQ142" s="12" t="str">
        <x:v>Média</x:v>
      </x:c>
      <x:c r="AR142" s="12" t="str">
        <x:v>Inventário mestre completo atualizado em 2026-07-01</x:v>
      </x:c>
      <x:c r="AS142" s="12" t="str">
        <x:v>Confirmar peso</x:v>
      </x:c>
      <x:c r="AT142" s="12" t="str">
        <x:v>R$10–15/un; custo médio usado R$12,50.</x:v>
      </x:c>
    </x:row>
    <x:row r="143">
      <x:c r="A143" s="12" t="str">
        <x:v>DG-AM-002</x:v>
      </x:c>
      <x:c r="B143" s="12" t="str"/>
      <x:c r="C143" s="12" t="str">
        <x:v>Classic Collection</x:v>
      </x:c>
      <x:c r="D143" s="12" t="str">
        <x:v>Ametistas</x:v>
      </x:c>
      <x:c r="E143" s="12" t="str">
        <x:v>Ametista</x:v>
      </x:c>
      <x:c r="F143" s="12" t="str">
        <x:v>Natural</x:v>
      </x:c>
      <x:c r="G143" s="12" t="str">
        <x:v>Lote</x:v>
      </x:c>
      <x:c r="H143" s="18" t="n">
        <x:v>5</x:v>
      </x:c>
      <x:c r="I143" s="12" t="str">
        <x:v>Oval</x:v>
      </x:c>
      <x:c r="J143" s="12" t="str">
        <x:v>6 x 5 cada</x:v>
      </x:c>
      <x:c r="K143" s="14" t="n">
        <x:v>3.5</x:v>
      </x:c>
      <x:c r="L143" s="12" t="str">
        <x:v>Não</x:v>
      </x:c>
      <x:c r="M143" s="12" t="str">
        <x:v>Estimativa por medidas</x:v>
      </x:c>
      <x:c r="N143" s="12" t="str">
        <x:v>Roxo médio / lavanda</x:v>
      </x:c>
      <x:c r="O143" s="12" t="str">
        <x:v>Transparente</x:v>
      </x:c>
      <x:c r="P143" s="12" t="str"/>
      <x:c r="Q143" s="12" t="str">
        <x:v>Não avaliado / não informado</x:v>
      </x:c>
      <x:c r="R143" s="12" t="str">
        <x:v>Não</x:v>
      </x:c>
      <x:c r="S143" s="12" t="str"/>
      <x:c r="T143" s="12" t="str"/>
      <x:c r="U143" s="20" t="n">
        <x:v>62.5</x:v>
      </x:c>
      <x:c r="V143" s="20" t="n">
        <x:v>225</x:v>
      </x:c>
      <x:c r="W143" s="20" t="n">
        <x:v>450</x:v>
      </x:c>
      <x:c r="X143" s="20" t="n">
        <x:v>225</x:v>
      </x:c>
      <x:c r="Y143" s="20" t="n">
        <x:v>450</x:v>
      </x:c>
      <x:c r="Z143" s="20" t="n">
        <x:v>2000</x:v>
      </x:c>
      <x:c r="AA143" s="20" t="n">
        <x:v>6000</x:v>
      </x:c>
      <x:c r="AB143" s="12" t="str">
        <x:v>Registrado no histórico</x:v>
      </x:c>
      <x:c r="AC143" s="16" t="n">
        <x:v>8</x:v>
      </x:c>
      <x:c r="AD143" s="12" t="str">
        <x:v>B+</x:v>
      </x:c>
      <x:c r="AE143" s="12" t="str">
        <x:v>Baixa</x:v>
      </x:c>
      <x:c r="AF143" s="12" t="str">
        <x:v>Brincos, anel, pingentes</x:v>
      </x:c>
      <x:c r="AG143" s="12" t="str">
        <x:v>Brincos, anel, pingentes</x:v>
      </x:c>
      <x:c r="AH143" s="12" t="str">
        <x:v>Coleção</x:v>
      </x:c>
      <x:c r="AI143" s="12" t="str"/>
      <x:c r="AJ143" s="12" t="str"/>
      <x:c r="AK143" s="12" t="str"/>
      <x:c r="AL143" s="12" t="str"/>
      <x:c r="AM143" s="12" t="str">
        <x:v>Não informado</x:v>
      </x:c>
      <x:c r="AN143" s="12" t="str"/>
      <x:c r="AO143" s="12" t="str">
        <x:v>2026-07-01</x:v>
      </x:c>
      <x:c r="AP143" s="12" t="str">
        <x:v>2026-07-19</x:v>
      </x:c>
      <x:c r="AQ143" s="12" t="str">
        <x:v>Média</x:v>
      </x:c>
      <x:c r="AR143" s="12" t="str">
        <x:v>Inventário mestre completo atualizado em 2026-07-01</x:v>
      </x:c>
      <x:c r="AS143" s="12" t="str">
        <x:v>Confirmar peso</x:v>
      </x:c>
      <x:c r="AT143" s="12" t="str"/>
    </x:row>
    <x:row r="144">
      <x:c r="A144" s="12" t="str">
        <x:v>DG-OF-001</x:v>
      </x:c>
      <x:c r="B144" s="12" t="str"/>
      <x:c r="C144" s="12" t="str">
        <x:v>Opal Collection</x:v>
      </x:c>
      <x:c r="D144" s="12" t="str">
        <x:v>Opalas</x:v>
      </x:c>
      <x:c r="E144" s="12" t="str">
        <x:v>Opala</x:v>
      </x:c>
      <x:c r="F144" s="12" t="str">
        <x:v>Opala de Fogo</x:v>
      </x:c>
      <x:c r="G144" s="12" t="str">
        <x:v>Gema individual</x:v>
      </x:c>
      <x:c r="H144" s="18" t="n">
        <x:v>1</x:v>
      </x:c>
      <x:c r="I144" s="12" t="str">
        <x:v>Gota</x:v>
      </x:c>
      <x:c r="J144" s="12" t="str">
        <x:v>10 x 5</x:v>
      </x:c>
      <x:c r="K144" s="14" t="n">
        <x:v>1.3</x:v>
      </x:c>
      <x:c r="L144" s="12" t="str">
        <x:v>Não</x:v>
      </x:c>
      <x:c r="M144" s="12" t="str">
        <x:v>Estimativa por medidas</x:v>
      </x:c>
      <x:c r="N144" s="12" t="str">
        <x:v>Laranja claro / Pêssego</x:v>
      </x:c>
      <x:c r="O144" s="12" t="str">
        <x:v>Translúcida</x:v>
      </x:c>
      <x:c r="P144" s="12" t="str"/>
      <x:c r="Q144" s="12" t="str">
        <x:v>Não avaliado / não informado</x:v>
      </x:c>
      <x:c r="R144" s="12" t="str">
        <x:v>Não</x:v>
      </x:c>
      <x:c r="S144" s="12" t="str"/>
      <x:c r="T144" s="12" t="str"/>
      <x:c r="U144" s="20"/>
      <x:c r="V144" s="20" t="n">
        <x:v>600</x:v>
      </x:c>
      <x:c r="W144" s="20" t="n">
        <x:v>900</x:v>
      </x:c>
      <x:c r="X144" s="20" t="n">
        <x:v>900</x:v>
      </x:c>
      <x:c r="Y144" s="20" t="n">
        <x:v>1600</x:v>
      </x:c>
      <x:c r="Z144" s="20" t="n">
        <x:v>2500</x:v>
      </x:c>
      <x:c r="AA144" s="20" t="n">
        <x:v>6000</x:v>
      </x:c>
      <x:c r="AB144" s="12" t="str">
        <x:v>Registrado no histórico</x:v>
      </x:c>
      <x:c r="AC144" s="16" t="n">
        <x:v>7.5</x:v>
      </x:c>
      <x:c r="AD144" s="12" t="str">
        <x:v>B+</x:v>
      </x:c>
      <x:c r="AE144" s="12" t="str">
        <x:v>Baixa</x:v>
      </x:c>
      <x:c r="AF144" s="12" t="str">
        <x:v>Pingente delicado em ouro amarelo</x:v>
      </x:c>
      <x:c r="AG144" s="12" t="str">
        <x:v>Pingente delicado em ouro amarelo</x:v>
      </x:c>
      <x:c r="AH144" s="12" t="str">
        <x:v>Coleção</x:v>
      </x:c>
      <x:c r="AI144" s="12" t="str"/>
      <x:c r="AJ144" s="12" t="str"/>
      <x:c r="AK144" s="12" t="str"/>
      <x:c r="AL144" s="12" t="str"/>
      <x:c r="AM144" s="12" t="str">
        <x:v>Não informado</x:v>
      </x:c>
      <x:c r="AN144" s="12" t="str"/>
      <x:c r="AO144" s="12" t="str">
        <x:v>2026-07-01</x:v>
      </x:c>
      <x:c r="AP144" s="12" t="str">
        <x:v>2026-07-19</x:v>
      </x:c>
      <x:c r="AQ144" s="12" t="str">
        <x:v>Média</x:v>
      </x:c>
      <x:c r="AR144" s="12" t="str">
        <x:v>Inventário mestre completo atualizado em 2026-07-01</x:v>
      </x:c>
      <x:c r="AS144" s="12" t="str">
        <x:v>Confirmar peso</x:v>
      </x:c>
      <x:c r="AT144" s="12" t="str">
        <x:v>Opala sensível; evitar anel de uso diário.</x:v>
      </x:c>
    </x:row>
    <x:row r="145">
      <x:c r="A145" s="12" t="str">
        <x:v>DG-PD-001</x:v>
      </x:c>
      <x:c r="B145" s="12" t="str"/>
      <x:c r="C145" s="12" t="str">
        <x:v>Peridot Collection</x:v>
      </x:c>
      <x:c r="D145" s="12" t="str">
        <x:v>Peridotos</x:v>
      </x:c>
      <x:c r="E145" s="12" t="str">
        <x:v>Olivina</x:v>
      </x:c>
      <x:c r="F145" s="12" t="str">
        <x:v>Peridoto</x:v>
      </x:c>
      <x:c r="G145" s="12" t="str">
        <x:v>Lote</x:v>
      </x:c>
      <x:c r="H145" s="18" t="n">
        <x:v>6</x:v>
      </x:c>
      <x:c r="I145" s="12" t="str">
        <x:v>2 redondas + 4 ovais</x:v>
      </x:c>
      <x:c r="J145" s="12" t="str">
        <x:v>2x 4x4; 3x 5x4; 1x 5x3.5</x:v>
      </x:c>
      <x:c r="K145" s="14" t="n">
        <x:v>2.16</x:v>
      </x:c>
      <x:c r="L145" s="12" t="str">
        <x:v>Não</x:v>
      </x:c>
      <x:c r="M145" s="12" t="str">
        <x:v>Estimativa por medidas</x:v>
      </x:c>
      <x:c r="N145" s="12" t="str">
        <x:v>Verde-limão intenso</x:v>
      </x:c>
      <x:c r="O145" s="12" t="str">
        <x:v>Transparente</x:v>
      </x:c>
      <x:c r="P145" s="12" t="str"/>
      <x:c r="Q145" s="12" t="str">
        <x:v>Não avaliado / não informado</x:v>
      </x:c>
      <x:c r="R145" s="12" t="str">
        <x:v>Não</x:v>
      </x:c>
      <x:c r="S145" s="12" t="str"/>
      <x:c r="T145" s="12" t="str"/>
      <x:c r="U145" s="20" t="n">
        <x:v>100</x:v>
      </x:c>
      <x:c r="V145" s="20" t="n">
        <x:v>900</x:v>
      </x:c>
      <x:c r="W145" s="20" t="n">
        <x:v>1500</x:v>
      </x:c>
      <x:c r="X145" s="20" t="n">
        <x:v>900</x:v>
      </x:c>
      <x:c r="Y145" s="20" t="n">
        <x:v>1500</x:v>
      </x:c>
      <x:c r="Z145" s="20" t="n">
        <x:v>3500</x:v>
      </x:c>
      <x:c r="AA145" s="20" t="n">
        <x:v>7000</x:v>
      </x:c>
      <x:c r="AB145" s="12" t="str">
        <x:v>Registrado no histórico</x:v>
      </x:c>
      <x:c r="AC145" s="16" t="n">
        <x:v>8.2</x:v>
      </x:c>
      <x:c r="AD145" s="12" t="str">
        <x:v>B+</x:v>
      </x:c>
      <x:c r="AE145" s="12" t="str">
        <x:v>Baixa</x:v>
      </x:c>
      <x:c r="AF145" s="12" t="str">
        <x:v>Conjunto Primavera: brincos, anel, pingente</x:v>
      </x:c>
      <x:c r="AG145" s="12" t="str">
        <x:v>Conjunto Primavera: brincos, anel, pingente</x:v>
      </x:c>
      <x:c r="AH145" s="12" t="str">
        <x:v>Coleção</x:v>
      </x:c>
      <x:c r="AI145" s="12" t="str"/>
      <x:c r="AJ145" s="12" t="str"/>
      <x:c r="AK145" s="12" t="str"/>
      <x:c r="AL145" s="12" t="str"/>
      <x:c r="AM145" s="12" t="str">
        <x:v>Não informado</x:v>
      </x:c>
      <x:c r="AN145" s="12" t="str"/>
      <x:c r="AO145" s="12" t="str">
        <x:v>2026-07-01</x:v>
      </x:c>
      <x:c r="AP145" s="12" t="str">
        <x:v>2026-07-19</x:v>
      </x:c>
      <x:c r="AQ145" s="12" t="str">
        <x:v>Média</x:v>
      </x:c>
      <x:c r="AR145" s="12" t="str">
        <x:v>Inventário mestre completo atualizado em 2026-07-01</x:v>
      </x:c>
      <x:c r="AS145" s="12" t="str">
        <x:v>Confirmar peso</x:v>
      </x:c>
      <x:c r="AT145" s="12" t="str">
        <x:v>Valor pago máximo R$100 pelo lote.</x:v>
      </x:c>
    </x:row>
    <x:row r="146">
      <x:c r="A146" s="12" t="str">
        <x:v>DG-UK-001</x:v>
      </x:c>
      <x:c r="B146" s="12" t="str"/>
      <x:c r="C146" s="12" t="str">
        <x:v>Em Identificação</x:v>
      </x:c>
      <x:c r="D146" s="12" t="str">
        <x:v>Pedras pendentes</x:v>
      </x:c>
      <x:c r="E146" s="12" t="str">
        <x:v>Provável Quartzo/Topázio/Goshenita</x:v>
      </x:c>
      <x:c r="F146" s="12" t="str">
        <x:v>Incolor</x:v>
      </x:c>
      <x:c r="G146" s="12" t="str">
        <x:v>Gema individual</x:v>
      </x:c>
      <x:c r="H146" s="18" t="n">
        <x:v>1</x:v>
      </x:c>
      <x:c r="I146" s="12" t="str">
        <x:v>Oval</x:v>
      </x:c>
      <x:c r="J146" s="12" t="str">
        <x:v>10 x 8</x:v>
      </x:c>
      <x:c r="K146" s="14" t="n">
        <x:v>0</x:v>
      </x:c>
      <x:c r="L146" s="12" t="str">
        <x:v>Pendente</x:v>
      </x:c>
      <x:c r="M146" s="12" t="str">
        <x:v>Pendente</x:v>
      </x:c>
      <x:c r="N146" s="12" t="str">
        <x:v>Incolor / transparente</x:v>
      </x:c>
      <x:c r="O146" s="12" t="str">
        <x:v>Transparente</x:v>
      </x:c>
      <x:c r="P146" s="12" t="str">
        <x:v>Bahia</x:v>
      </x:c>
      <x:c r="Q146" s="12" t="str">
        <x:v>Não avaliado / não informado</x:v>
      </x:c>
      <x:c r="R146" s="12" t="str">
        <x:v>Não</x:v>
      </x:c>
      <x:c r="S146" s="12" t="str"/>
      <x:c r="T146" s="12" t="str"/>
      <x:c r="U146" s="20"/>
      <x:c r="V146" s="20" t="n">
        <x:v>50</x:v>
      </x:c>
      <x:c r="W146" s="20" t="n">
        <x:v>500</x:v>
      </x:c>
      <x:c r="X146" s="20" t="n">
        <x:v>50</x:v>
      </x:c>
      <x:c r="Y146" s="20" t="n">
        <x:v>500</x:v>
      </x:c>
      <x:c r="Z146" s="20" t="n">
        <x:v>500</x:v>
      </x:c>
      <x:c r="AA146" s="20" t="n">
        <x:v>1500</x:v>
      </x:c>
      <x:c r="AB146" s="12" t="str">
        <x:v>Registrado no histórico</x:v>
      </x:c>
      <x:c r="AC146" s="16" t="n">
        <x:v>5.5</x:v>
      </x:c>
      <x:c r="AD146" s="12" t="str">
        <x:v>Pendente</x:v>
      </x:c>
      <x:c r="AE146" s="12" t="str">
        <x:v>Baixa</x:v>
      </x:c>
      <x:c r="AF146" s="12" t="str">
        <x:v>Aguardar identificação</x:v>
      </x:c>
      <x:c r="AG146" s="12" t="str">
        <x:v>Aguardar identificação</x:v>
      </x:c>
      <x:c r="AH146" s="12" t="str">
        <x:v>Coleção</x:v>
      </x:c>
      <x:c r="AI146" s="12" t="str"/>
      <x:c r="AJ146" s="12" t="str"/>
      <x:c r="AK146" s="12" t="str"/>
      <x:c r="AL146" s="12" t="str"/>
      <x:c r="AM146" s="12" t="str">
        <x:v>Não informado</x:v>
      </x:c>
      <x:c r="AN146" s="12" t="str"/>
      <x:c r="AO146" s="12" t="str">
        <x:v>2026-07-01</x:v>
      </x:c>
      <x:c r="AP146" s="12" t="str">
        <x:v>2026-07-19</x:v>
      </x:c>
      <x:c r="AQ146" s="12" t="str">
        <x:v>Pendente</x:v>
      </x:c>
      <x:c r="AR146" s="12" t="str">
        <x:v>Inventário mestre completo atualizado em 2026-07-01</x:v>
      </x:c>
      <x:c r="AS146" s="12" t="str">
        <x:v>Confirmar peso; Confirmar identificação em laboratório</x:v>
      </x:c>
      <x:c r="AT146" s="12" t="str"/>
    </x:row>
  </x:sheetData>
  <x:conditionalFormatting sqref="K2:K146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{1201EEEE-9AD4-D85D-1F9F-3A1198960582}</x14:id>
        </x:ext>
      </x:extLst>
    </x:cfRule>
  </x:conditionalFormatting>
  <x:conditionalFormatting sqref="AC2:AC146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146">
    <x:cfRule type="expression" dxfId="0" priority="3">
      <x:formula>AB2="Pendente de precificação individual"</x:formula>
    </x:cfRule>
  </x:conditionalFormatting>
  <x:conditionalFormatting sqref="AS2:AS146">
    <x:cfRule type="expression" dxfId="1" priority="4">
      <x:formula>LEN(AS2)&gt;0</x:formula>
    </x:cfRule>
  </x:conditionalFormatting>
  <x:dataValidations count="2">
    <x:dataValidation type="list" sqref="AH2:AH146">
      <x:formula1>"Coleção,Estoque,Estoque para produção,Em identificação,Em certificação,Em joia,Vendido"</x:formula1>
    </x:dataValidation>
    <x:dataValidation type="list" sqref="AE2:AE146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b6160a3887455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01EEEE-9AD4-D85D-1F9F-3A1198960582}">
            <x14:dataBar gradient="1">
              <x14:cfvo type="min"/>
              <x14:cfvo type="max"/>
              <x14:fillColor rgb="FF4C8A72"/>
            </x14:dataBar>
          </x14:cfRule>
          <xm:sqref>K2:K146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DG-EM-001</x:v>
      </x:c>
      <x:c r="B2" s="12" t="str"/>
      <x:c r="C2" s="12" t="str">
        <x:v>Emerald Collection</x:v>
      </x:c>
      <x:c r="D2" s="12" t="str">
        <x:v>Esmeraldas</x:v>
      </x:c>
      <x:c r="E2" s="12" t="str">
        <x:v>Berilo</x:v>
      </x:c>
      <x:c r="F2" s="12" t="str">
        <x:v>Esmeralda</x:v>
      </x:c>
      <x:c r="G2" s="12" t="str">
        <x:v>Gema individual</x:v>
      </x:c>
      <x:c r="H2" s="18" t="n">
        <x:v>1</x:v>
      </x:c>
      <x:c r="I2" s="12" t="str">
        <x:v>Redonda / Round Mixed</x:v>
      </x:c>
      <x:c r="J2" s="12" t="str">
        <x:v>9 x 9 x 3</x:v>
      </x:c>
      <x:c r="K2" s="14" t="n">
        <x:v>2.915</x:v>
      </x:c>
      <x:c r="L2" s="12" t="str">
        <x:v>Sim</x:v>
      </x:c>
      <x:c r="M2" s="12" t="str">
        <x:v>Balança / informado</x:v>
      </x:c>
      <x:c r="N2" s="12" t="str">
        <x:v>Verde médio levemente azulado</x:v>
      </x:c>
      <x:c r="O2" s="12" t="str">
        <x:v>Semi-transparente a translúcida</x:v>
      </x:c>
      <x:c r="P2" s="12" t="str"/>
      <x:c r="Q2" s="12" t="str">
        <x:v>Não avaliado / não informado</x:v>
      </x:c>
      <x:c r="R2" s="12" t="str">
        <x:v>Não</x:v>
      </x:c>
      <x:c r="S2" s="12" t="str"/>
      <x:c r="T2" s="12" t="str"/>
      <x:c r="U2" s="20"/>
      <x:c r="V2" s="20"/>
      <x:c r="W2" s="20"/>
      <x:c r="X2" s="20"/>
      <x:c r="Y2" s="20"/>
      <x:c r="Z2" s="20"/>
      <x:c r="AA2" s="20"/>
      <x:c r="AB2" s="12" t="str">
        <x:v>Pendente de precificação individual</x:v>
      </x:c>
      <x:c r="AC2" s="16" t="n">
        <x:v>8.3</x:v>
      </x:c>
      <x:c r="AD2" s="12" t="str">
        <x:v>A</x:v>
      </x:c>
      <x:c r="AE2" s="12" t="str">
        <x:v>A definir</x:v>
      </x:c>
      <x:c r="AF2" s="12" t="str">
        <x:v>Anel solitário / pingente halo</x:v>
      </x:c>
      <x:c r="AG2" s="12" t="str">
        <x:v>Anel solitário / pingente halo</x:v>
      </x:c>
      <x:c r="AH2" s="12" t="str">
        <x:v>Coleção</x:v>
      </x:c>
      <x:c r="AI2" s="12" t="str"/>
      <x:c r="AJ2" s="12" t="str"/>
      <x:c r="AK2" s="12" t="str"/>
      <x:c r="AL2" s="12" t="str"/>
      <x:c r="AM2" s="12" t="str">
        <x:v>Não informado</x:v>
      </x:c>
      <x:c r="AN2" s="12" t="str"/>
      <x:c r="AO2" s="12" t="str">
        <x:v>2026-07-01</x:v>
      </x:c>
      <x:c r="AP2" s="12" t="str">
        <x:v>2026-07-19</x:v>
      </x:c>
      <x:c r="AQ2" s="12" t="str">
        <x:v>Alta</x:v>
      </x:c>
      <x:c r="AR2" s="12" t="str">
        <x:v>Inventário mestre completo atualizado em 2026-07-01</x:v>
      </x:c>
      <x:c r="AS2" s="12" t="str">
        <x:v>Precificação individual pendente</x:v>
      </x:c>
      <x:c r="AT2" s="12" t="str">
        <x:v>Avaliação visual; tratamentos não avaliados; confirmar naturalidade/tratamento em laboratório.</x:v>
      </x:c>
    </x:row>
    <x:row r="3">
      <x:c r="A3" s="12" t="str">
        <x:v>DG-EM-002</x:v>
      </x:c>
      <x:c r="B3" s="12" t="str"/>
      <x:c r="C3" s="12" t="str">
        <x:v>Emerald Collection</x:v>
      </x:c>
      <x:c r="D3" s="12" t="str">
        <x:v>Esmeraldas</x:v>
      </x:c>
      <x:c r="E3" s="12" t="str">
        <x:v>Berilo</x:v>
      </x:c>
      <x:c r="F3" s="12" t="str">
        <x:v>Esmeralda</x:v>
      </x:c>
      <x:c r="G3" s="12" t="str">
        <x:v>Gema individual</x:v>
      </x:c>
      <x:c r="H3" s="18" t="n">
        <x:v>1</x:v>
      </x:c>
      <x:c r="I3" s="12" t="str">
        <x:v>Octogonal / Emerald Cut</x:v>
      </x:c>
      <x:c r="J3" s="12" t="str">
        <x:v>16 x 14 x 6</x:v>
      </x:c>
      <x:c r="K3" s="14" t="n">
        <x:v>13.2</x:v>
      </x:c>
      <x:c r="L3" s="12" t="str">
        <x:v>Sim</x:v>
      </x:c>
      <x:c r="M3" s="12" t="str">
        <x:v>Balança / informado</x:v>
      </x:c>
      <x:c r="N3" s="12" t="str">
        <x:v>Verde intenso</x:v>
      </x:c>
      <x:c r="O3" s="12" t="str">
        <x:v>Semi-transparente a translúcida</x:v>
      </x:c>
      <x:c r="P3" s="12" t="str"/>
      <x:c r="Q3" s="12" t="str">
        <x:v>Não avaliado / não informado</x:v>
      </x:c>
      <x:c r="R3" s="12" t="str">
        <x:v>Não</x:v>
      </x:c>
      <x:c r="S3" s="12" t="str"/>
      <x:c r="T3" s="12" t="str"/>
      <x:c r="U3" s="20"/>
      <x:c r="V3" s="20"/>
      <x:c r="W3" s="20"/>
      <x:c r="X3" s="20"/>
      <x:c r="Y3" s="20"/>
      <x:c r="Z3" s="20"/>
      <x:c r="AA3" s="20"/>
      <x:c r="AB3" s="12" t="str">
        <x:v>Pendente de precificação individual</x:v>
      </x:c>
      <x:c r="AC3" s="16" t="n">
        <x:v>8.9</x:v>
      </x:c>
      <x:c r="AD3" s="12" t="str">
        <x:v>A+ Premium</x:v>
      </x:c>
      <x:c r="AE3" s="12" t="str">
        <x:v>A definir</x:v>
      </x:c>
      <x:c r="AF3" s="12" t="str">
        <x:v>Anel de destaque / pingente central</x:v>
      </x:c>
      <x:c r="AG3" s="12" t="str">
        <x:v>Anel de destaque / pingente central</x:v>
      </x:c>
      <x:c r="AH3" s="12" t="str">
        <x:v>Coleção</x:v>
      </x:c>
      <x:c r="AI3" s="12" t="str"/>
      <x:c r="AJ3" s="12" t="str"/>
      <x:c r="AK3" s="12" t="str"/>
      <x:c r="AL3" s="12" t="str"/>
      <x:c r="AM3" s="12" t="str">
        <x:v>Não informado</x:v>
      </x:c>
      <x:c r="AN3" s="12" t="str"/>
      <x:c r="AO3" s="12" t="str">
        <x:v>2026-07-01</x:v>
      </x:c>
      <x:c r="AP3" s="12" t="str">
        <x:v>2026-07-19</x:v>
      </x:c>
      <x:c r="AQ3" s="12" t="str">
        <x:v>Alta</x:v>
      </x:c>
      <x:c r="AR3" s="12" t="str">
        <x:v>Inventário mestre completo atualizado em 2026-07-01</x:v>
      </x:c>
      <x:c r="AS3" s="12" t="str">
        <x:v>Precificação individual pendente</x:v>
      </x:c>
      <x:c r="AT3" s="12" t="str">
        <x:v>Avaliação visual; tratamentos não avaliados; confirmar naturalidade/tratamento em laboratório.</x:v>
      </x:c>
    </x:row>
    <x:row r="4">
      <x:c r="A4" s="12" t="str">
        <x:v>DG-EM-003</x:v>
      </x:c>
      <x:c r="B4" s="12" t="str"/>
      <x:c r="C4" s="12" t="str">
        <x:v>Emerald Collection</x:v>
      </x:c>
      <x:c r="D4" s="12" t="str">
        <x:v>Esmeraldas</x:v>
      </x:c>
      <x:c r="E4" s="12" t="str">
        <x:v>Berilo</x:v>
      </x:c>
      <x:c r="F4" s="12" t="str">
        <x:v>Esmeralda</x:v>
      </x:c>
      <x:c r="G4" s="12" t="str">
        <x:v>Gema individual</x:v>
      </x:c>
      <x:c r="H4" s="18" t="n">
        <x:v>1</x:v>
      </x:c>
      <x:c r="I4" s="12" t="str">
        <x:v>Oval Mixed</x:v>
      </x:c>
      <x:c r="J4" s="12" t="str">
        <x:v>19 x 14 x 5</x:v>
      </x:c>
      <x:c r="K4" s="14" t="n">
        <x:v>12.07</x:v>
      </x:c>
      <x:c r="L4" s="12" t="str">
        <x:v>Sim</x:v>
      </x:c>
      <x:c r="M4" s="12" t="str">
        <x:v>Balança / informado</x:v>
      </x:c>
      <x:c r="N4" s="12" t="str">
        <x:v>Verde escuro saturado</x:v>
      </x:c>
      <x:c r="O4" s="12" t="str">
        <x:v>Semi-transparente a translúcida</x:v>
      </x:c>
      <x:c r="P4" s="12" t="str"/>
      <x:c r="Q4" s="12" t="str">
        <x:v>Não avaliado / não informado</x:v>
      </x:c>
      <x:c r="R4" s="12" t="str">
        <x:v>Não</x:v>
      </x:c>
      <x:c r="S4" s="12" t="str"/>
      <x:c r="T4" s="12" t="str"/>
      <x:c r="U4" s="20"/>
      <x:c r="V4" s="20"/>
      <x:c r="W4" s="20"/>
      <x:c r="X4" s="20"/>
      <x:c r="Y4" s="20"/>
      <x:c r="Z4" s="20"/>
      <x:c r="AA4" s="20"/>
      <x:c r="AB4" s="12" t="str">
        <x:v>Pendente de precificação individual</x:v>
      </x:c>
      <x:c r="AC4" s="16" t="n">
        <x:v>8.8</x:v>
      </x:c>
      <x:c r="AD4" s="12" t="str">
        <x:v>A+ Premium</x:v>
      </x:c>
      <x:c r="AE4" s="12" t="str">
        <x:v>A definir</x:v>
      </x:c>
      <x:c r="AF4" s="12" t="str">
        <x:v>Pingente central / anel robusto</x:v>
      </x:c>
      <x:c r="AG4" s="12" t="str">
        <x:v>Pingente central / anel robusto</x:v>
      </x:c>
      <x:c r="AH4" s="12" t="str">
        <x:v>Coleção</x:v>
      </x:c>
      <x:c r="AI4" s="12" t="str"/>
      <x:c r="AJ4" s="12" t="str"/>
      <x:c r="AK4" s="12" t="str"/>
      <x:c r="AL4" s="12" t="str"/>
      <x:c r="AM4" s="12" t="str">
        <x:v>Não informado</x:v>
      </x:c>
      <x:c r="AN4" s="12" t="str"/>
      <x:c r="AO4" s="12" t="str">
        <x:v>2026-07-01</x:v>
      </x:c>
      <x:c r="AP4" s="12" t="str">
        <x:v>2026-07-19</x:v>
      </x:c>
      <x:c r="AQ4" s="12" t="str">
        <x:v>Alta</x:v>
      </x:c>
      <x:c r="AR4" s="12" t="str">
        <x:v>Inventário mestre completo atualizado em 2026-07-01</x:v>
      </x:c>
      <x:c r="AS4" s="12" t="str">
        <x:v>Precificação individual pendente</x:v>
      </x:c>
      <x:c r="AT4" s="12" t="str">
        <x:v>Avaliação visual; tratamentos não avaliados; confirmar naturalidade/tratamento em laboratório.</x:v>
      </x:c>
    </x:row>
    <x:row r="5">
      <x:c r="A5" s="12" t="str">
        <x:v>DG-EM-004</x:v>
      </x:c>
      <x:c r="B5" s="12" t="str"/>
      <x:c r="C5" s="12" t="str">
        <x:v>Emerald Collection</x:v>
      </x:c>
      <x:c r="D5" s="12" t="str">
        <x:v>Esmeraldas</x:v>
      </x:c>
      <x:c r="E5" s="12" t="str">
        <x:v>Berilo</x:v>
      </x:c>
      <x:c r="F5" s="12" t="str">
        <x:v>Esmeralda</x:v>
      </x:c>
      <x:c r="G5" s="12" t="str">
        <x:v>Gema individual</x:v>
      </x:c>
      <x:c r="H5" s="18" t="n">
        <x:v>1</x:v>
      </x:c>
      <x:c r="I5" s="12" t="str">
        <x:v>Gota / Pear</x:v>
      </x:c>
      <x:c r="J5" s="12" t="str">
        <x:v>15 x 9 x 5</x:v>
      </x:c>
      <x:c r="K5" s="14" t="n">
        <x:v>5.89</x:v>
      </x:c>
      <x:c r="L5" s="12" t="str">
        <x:v>Sim</x:v>
      </x:c>
      <x:c r="M5" s="12" t="str">
        <x:v>Balança / informado</x:v>
      </x:c>
      <x:c r="N5" s="12" t="str">
        <x:v>Verde intenso</x:v>
      </x:c>
      <x:c r="O5" s="12" t="str">
        <x:v>Semi-transparente a translúcida</x:v>
      </x:c>
      <x:c r="P5" s="12" t="str"/>
      <x:c r="Q5" s="12" t="str">
        <x:v>Não avaliado / não informado</x:v>
      </x:c>
      <x:c r="R5" s="12" t="str">
        <x:v>Não</x:v>
      </x:c>
      <x:c r="S5" s="12" t="str"/>
      <x:c r="T5" s="12" t="str"/>
      <x:c r="U5" s="20"/>
      <x:c r="V5" s="20"/>
      <x:c r="W5" s="20"/>
      <x:c r="X5" s="20"/>
      <x:c r="Y5" s="20"/>
      <x:c r="Z5" s="20"/>
      <x:c r="AA5" s="20"/>
      <x:c r="AB5" s="12" t="str">
        <x:v>Pendente de precificação individual</x:v>
      </x:c>
      <x:c r="AC5" s="16" t="n">
        <x:v>8.9</x:v>
      </x:c>
      <x:c r="AD5" s="12" t="str">
        <x:v>A+</x:v>
      </x:c>
      <x:c r="AE5" s="12" t="str">
        <x:v>A definir</x:v>
      </x:c>
      <x:c r="AF5" s="12" t="str">
        <x:v>Pingente solitário / anel de luxo</x:v>
      </x:c>
      <x:c r="AG5" s="12" t="str">
        <x:v>Pingente solitário / anel de luxo</x:v>
      </x:c>
      <x:c r="AH5" s="12" t="str">
        <x:v>Coleção</x:v>
      </x:c>
      <x:c r="AI5" s="12" t="str"/>
      <x:c r="AJ5" s="12" t="str"/>
      <x:c r="AK5" s="12" t="str"/>
      <x:c r="AL5" s="12" t="str"/>
      <x:c r="AM5" s="12" t="str">
        <x:v>Não informado</x:v>
      </x:c>
      <x:c r="AN5" s="12" t="str"/>
      <x:c r="AO5" s="12" t="str">
        <x:v>2026-07-01</x:v>
      </x:c>
      <x:c r="AP5" s="12" t="str">
        <x:v>2026-07-19</x:v>
      </x:c>
      <x:c r="AQ5" s="12" t="str">
        <x:v>Alta</x:v>
      </x:c>
      <x:c r="AR5" s="12" t="str">
        <x:v>Inventário mestre completo atualizado em 2026-07-01</x:v>
      </x:c>
      <x:c r="AS5" s="12" t="str">
        <x:v>Precificação individual pendente</x:v>
      </x:c>
      <x:c r="AT5" s="12" t="str">
        <x:v>Avaliação visual; tratamentos não avaliados; confirmar naturalidade/tratamento em laboratório.</x:v>
      </x:c>
    </x:row>
    <x:row r="6">
      <x:c r="A6" s="12" t="str">
        <x:v>DG-EM-005</x:v>
      </x:c>
      <x:c r="B6" s="12" t="str"/>
      <x:c r="C6" s="12" t="str">
        <x:v>Emerald Collection</x:v>
      </x:c>
      <x:c r="D6" s="12" t="str">
        <x:v>Esmeraldas</x:v>
      </x:c>
      <x:c r="E6" s="12" t="str">
        <x:v>Berilo</x:v>
      </x:c>
      <x:c r="F6" s="12" t="str">
        <x:v>Esmeralda</x:v>
      </x:c>
      <x:c r="G6" s="12" t="str">
        <x:v>Gema individual</x:v>
      </x:c>
      <x:c r="H6" s="18" t="n">
        <x:v>1</x:v>
      </x:c>
      <x:c r="I6" s="12" t="str">
        <x:v>Cushion</x:v>
      </x:c>
      <x:c r="J6" s="12" t="str">
        <x:v>18 x 15 x 6</x:v>
      </x:c>
      <x:c r="K6" s="14" t="n">
        <x:v>17.095</x:v>
      </x:c>
      <x:c r="L6" s="12" t="str">
        <x:v>Sim</x:v>
      </x:c>
      <x:c r="M6" s="12" t="str">
        <x:v>Balança / informado</x:v>
      </x:c>
      <x:c r="N6" s="12" t="str">
        <x:v>Verde intenso frio</x:v>
      </x:c>
      <x:c r="O6" s="12" t="str">
        <x:v>Semi-transparente a translúcida</x:v>
      </x:c>
      <x:c r="P6" s="12" t="str"/>
      <x:c r="Q6" s="12" t="str">
        <x:v>Não avaliado / não informado</x:v>
      </x:c>
      <x:c r="R6" s="12" t="str">
        <x:v>Não</x:v>
      </x:c>
      <x:c r="S6" s="12" t="str"/>
      <x:c r="T6" s="12" t="str"/>
      <x:c r="U6" s="20"/>
      <x:c r="V6" s="20"/>
      <x:c r="W6" s="20"/>
      <x:c r="X6" s="20"/>
      <x:c r="Y6" s="20"/>
      <x:c r="Z6" s="20"/>
      <x:c r="AA6" s="20"/>
      <x:c r="AB6" s="12" t="str">
        <x:v>Pendente de precificação individual</x:v>
      </x:c>
      <x:c r="AC6" s="16" t="n">
        <x:v>9</x:v>
      </x:c>
      <x:c r="AD6" s="12" t="str">
        <x:v>A+ Premium</x:v>
      </x:c>
      <x:c r="AE6" s="12" t="str">
        <x:v>A definir</x:v>
      </x:c>
      <x:c r="AF6" s="12" t="str">
        <x:v>Anel masculino luxo / pingente impacto</x:v>
      </x:c>
      <x:c r="AG6" s="12" t="str">
        <x:v>Anel masculino luxo / pingente impacto</x:v>
      </x:c>
      <x:c r="AH6" s="12" t="str">
        <x:v>Coleção</x:v>
      </x:c>
      <x:c r="AI6" s="12" t="str"/>
      <x:c r="AJ6" s="12" t="str"/>
      <x:c r="AK6" s="12" t="str"/>
      <x:c r="AL6" s="12" t="str"/>
      <x:c r="AM6" s="12" t="str">
        <x:v>Não informado</x:v>
      </x:c>
      <x:c r="AN6" s="12" t="str"/>
      <x:c r="AO6" s="12" t="str">
        <x:v>2026-07-01</x:v>
      </x:c>
      <x:c r="AP6" s="12" t="str">
        <x:v>2026-07-19</x:v>
      </x:c>
      <x:c r="AQ6" s="12" t="str">
        <x:v>Alta</x:v>
      </x:c>
      <x:c r="AR6" s="12" t="str">
        <x:v>Inventário mestre completo atualizado em 2026-07-01</x:v>
      </x:c>
      <x:c r="AS6" s="12" t="str">
        <x:v>Precificação individual pendente</x:v>
      </x:c>
      <x:c r="AT6" s="12" t="str">
        <x:v>Avaliação visual; tratamentos não avaliados; confirmar naturalidade/tratamento em laboratório.</x:v>
      </x:c>
    </x:row>
    <x:row r="7">
      <x:c r="A7" s="12" t="str">
        <x:v>DG-EM-006</x:v>
      </x:c>
      <x:c r="B7" s="12" t="str"/>
      <x:c r="C7" s="12" t="str">
        <x:v>Emerald Collection</x:v>
      </x:c>
      <x:c r="D7" s="12" t="str">
        <x:v>Esmeraldas</x:v>
      </x:c>
      <x:c r="E7" s="12" t="str">
        <x:v>Berilo</x:v>
      </x:c>
      <x:c r="F7" s="12" t="str">
        <x:v>Esmeralda</x:v>
      </x:c>
      <x:c r="G7" s="12" t="str">
        <x:v>Gema individual</x:v>
      </x:c>
      <x:c r="H7" s="18" t="n">
        <x:v>1</x:v>
      </x:c>
      <x:c r="I7" s="12" t="str">
        <x:v>Coração</x:v>
      </x:c>
      <x:c r="J7" s="12" t="str">
        <x:v>12 x 10 x 4</x:v>
      </x:c>
      <x:c r="K7" s="14" t="n">
        <x:v>3.04</x:v>
      </x:c>
      <x:c r="L7" s="12" t="str">
        <x:v>Sim</x:v>
      </x:c>
      <x:c r="M7" s="12" t="str">
        <x:v>Balança / informado</x:v>
      </x:c>
      <x:c r="N7" s="12" t="str">
        <x:v>Verde claro vivo</x:v>
      </x:c>
      <x:c r="O7" s="12" t="str">
        <x:v>Semi-transparente a translúcida</x:v>
      </x:c>
      <x:c r="P7" s="12" t="str"/>
      <x:c r="Q7" s="12" t="str">
        <x:v>Não avaliado / não informado</x:v>
      </x:c>
      <x:c r="R7" s="12" t="str">
        <x:v>Não</x:v>
      </x:c>
      <x:c r="S7" s="12" t="str"/>
      <x:c r="T7" s="12" t="str"/>
      <x:c r="U7" s="20"/>
      <x:c r="V7" s="20"/>
      <x:c r="W7" s="20"/>
      <x:c r="X7" s="20"/>
      <x:c r="Y7" s="20"/>
      <x:c r="Z7" s="20"/>
      <x:c r="AA7" s="20"/>
      <x:c r="AB7" s="12" t="str">
        <x:v>Pendente de precificação individual</x:v>
      </x:c>
      <x:c r="AC7" s="16" t="n">
        <x:v>8.5</x:v>
      </x:c>
      <x:c r="AD7" s="12" t="str">
        <x:v>A</x:v>
      </x:c>
      <x:c r="AE7" s="12" t="str">
        <x:v>A definir</x:v>
      </x:c>
      <x:c r="AF7" s="12" t="str">
        <x:v>Pingente coração / anel romântico</x:v>
      </x:c>
      <x:c r="AG7" s="12" t="str">
        <x:v>Pingente coração / anel romântico</x:v>
      </x:c>
      <x:c r="AH7" s="12" t="str">
        <x:v>Coleção</x:v>
      </x:c>
      <x:c r="AI7" s="12" t="str"/>
      <x:c r="AJ7" s="12" t="str"/>
      <x:c r="AK7" s="12" t="str"/>
      <x:c r="AL7" s="12" t="str"/>
      <x:c r="AM7" s="12" t="str">
        <x:v>Não informado</x:v>
      </x:c>
      <x:c r="AN7" s="12" t="str"/>
      <x:c r="AO7" s="12" t="str">
        <x:v>2026-07-01</x:v>
      </x:c>
      <x:c r="AP7" s="12" t="str">
        <x:v>2026-07-19</x:v>
      </x:c>
      <x:c r="AQ7" s="12" t="str">
        <x:v>Alta</x:v>
      </x:c>
      <x:c r="AR7" s="12" t="str">
        <x:v>Inventário mestre completo atualizado em 2026-07-01</x:v>
      </x:c>
      <x:c r="AS7" s="12" t="str">
        <x:v>Precificação individual pendente</x:v>
      </x:c>
      <x:c r="AT7" s="12" t="str">
        <x:v>Avaliação visual; tratamentos não avaliados; confirmar naturalidade/tratamento em laboratório.</x:v>
      </x:c>
    </x:row>
    <x:row r="8">
      <x:c r="A8" s="12" t="str">
        <x:v>DG-EM-007</x:v>
      </x:c>
      <x:c r="B8" s="12" t="str"/>
      <x:c r="C8" s="12" t="str">
        <x:v>Emerald Collection</x:v>
      </x:c>
      <x:c r="D8" s="12" t="str">
        <x:v>Esmeraldas</x:v>
      </x:c>
      <x:c r="E8" s="12" t="str">
        <x:v>Berilo</x:v>
      </x:c>
      <x:c r="F8" s="12" t="str">
        <x:v>Esmeralda</x:v>
      </x:c>
      <x:c r="G8" s="12" t="str">
        <x:v>Gema individual</x:v>
      </x:c>
      <x:c r="H8" s="18" t="n">
        <x:v>1</x:v>
      </x:c>
      <x:c r="I8" s="12" t="str">
        <x:v>Oval</x:v>
      </x:c>
      <x:c r="J8" s="12" t="str">
        <x:v>10 x 7 x 3</x:v>
      </x:c>
      <x:c r="K8" s="14" t="n">
        <x:v>2.87</x:v>
      </x:c>
      <x:c r="L8" s="12" t="str">
        <x:v>Sim</x:v>
      </x:c>
      <x:c r="M8" s="12" t="str">
        <x:v>Balança / informado</x:v>
      </x:c>
      <x:c r="N8" s="12" t="str">
        <x:v>Verde médio azulado</x:v>
      </x:c>
      <x:c r="O8" s="12" t="str">
        <x:v>Semi-transparente a translúcida</x:v>
      </x:c>
      <x:c r="P8" s="12" t="str"/>
      <x:c r="Q8" s="12" t="str">
        <x:v>Não avaliado / não informado</x:v>
      </x:c>
      <x:c r="R8" s="12" t="str">
        <x:v>Não</x:v>
      </x:c>
      <x:c r="S8" s="12" t="str"/>
      <x:c r="T8" s="12" t="str"/>
      <x:c r="U8" s="20"/>
      <x:c r="V8" s="20"/>
      <x:c r="W8" s="20"/>
      <x:c r="X8" s="20"/>
      <x:c r="Y8" s="20"/>
      <x:c r="Z8" s="20"/>
      <x:c r="AA8" s="20"/>
      <x:c r="AB8" s="12" t="str">
        <x:v>Pendente de precificação individual</x:v>
      </x:c>
      <x:c r="AC8" s="16" t="n">
        <x:v>8.4</x:v>
      </x:c>
      <x:c r="AD8" s="12" t="str">
        <x:v>A</x:v>
      </x:c>
      <x:c r="AE8" s="12" t="str">
        <x:v>A definir</x:v>
      </x:c>
      <x:c r="AF8" s="12" t="str">
        <x:v>Anel delicado / pingente</x:v>
      </x:c>
      <x:c r="AG8" s="12" t="str">
        <x:v>Anel delicado / pingente</x:v>
      </x:c>
      <x:c r="AH8" s="12" t="str">
        <x:v>Coleção</x:v>
      </x:c>
      <x:c r="AI8" s="12" t="str"/>
      <x:c r="AJ8" s="12" t="str"/>
      <x:c r="AK8" s="12" t="str"/>
      <x:c r="AL8" s="12" t="str"/>
      <x:c r="AM8" s="12" t="str">
        <x:v>Não informado</x:v>
      </x:c>
      <x:c r="AN8" s="12" t="str"/>
      <x:c r="AO8" s="12" t="str">
        <x:v>2026-07-01</x:v>
      </x:c>
      <x:c r="AP8" s="12" t="str">
        <x:v>2026-07-19</x:v>
      </x:c>
      <x:c r="AQ8" s="12" t="str">
        <x:v>Alta</x:v>
      </x:c>
      <x:c r="AR8" s="12" t="str">
        <x:v>Inventário mestre completo atualizado em 2026-07-01</x:v>
      </x:c>
      <x:c r="AS8" s="12" t="str">
        <x:v>Precificação individual pendente</x:v>
      </x:c>
      <x:c r="AT8" s="12" t="str">
        <x:v>Avaliação visual; tratamentos não avaliados; confirmar naturalidade/tratamento em laboratório.</x:v>
      </x:c>
    </x:row>
    <x:row r="9">
      <x:c r="A9" s="12" t="str">
        <x:v>DG-EM-008</x:v>
      </x:c>
      <x:c r="B9" s="12" t="str"/>
      <x:c r="C9" s="12" t="str">
        <x:v>Emerald Collection</x:v>
      </x:c>
      <x:c r="D9" s="12" t="str">
        <x:v>Esmeraldas</x:v>
      </x:c>
      <x:c r="E9" s="12" t="str">
        <x:v>Berilo</x:v>
      </x:c>
      <x:c r="F9" s="12" t="str">
        <x:v>Esmeralda</x:v>
      </x:c>
      <x:c r="G9" s="12" t="str">
        <x:v>Gema individual</x:v>
      </x:c>
      <x:c r="H9" s="18" t="n">
        <x:v>1</x:v>
      </x:c>
      <x:c r="I9" s="12" t="str">
        <x:v>Emerald Cut</x:v>
      </x:c>
      <x:c r="J9" s="12" t="str">
        <x:v>13 x 10 x 5</x:v>
      </x:c>
      <x:c r="K9" s="14" t="n">
        <x:v>7.5</x:v>
      </x:c>
      <x:c r="L9" s="12" t="str">
        <x:v>Sim</x:v>
      </x:c>
      <x:c r="M9" s="12" t="str">
        <x:v>Balança / informado</x:v>
      </x:c>
      <x:c r="N9" s="12" t="str">
        <x:v>Verde profundo</x:v>
      </x:c>
      <x:c r="O9" s="12" t="str">
        <x:v>Semi-transparente a translúcida</x:v>
      </x:c>
      <x:c r="P9" s="12" t="str"/>
      <x:c r="Q9" s="12" t="str">
        <x:v>Não avaliado / não informado</x:v>
      </x:c>
      <x:c r="R9" s="12" t="str">
        <x:v>Não</x:v>
      </x:c>
      <x:c r="S9" s="12" t="str"/>
      <x:c r="T9" s="12" t="str"/>
      <x:c r="U9" s="20"/>
      <x:c r="V9" s="20"/>
      <x:c r="W9" s="20"/>
      <x:c r="X9" s="20"/>
      <x:c r="Y9" s="20"/>
      <x:c r="Z9" s="20"/>
      <x:c r="AA9" s="20"/>
      <x:c r="AB9" s="12" t="str">
        <x:v>Pendente de precificação individual</x:v>
      </x:c>
      <x:c r="AC9" s="16" t="n">
        <x:v>8.8</x:v>
      </x:c>
      <x:c r="AD9" s="12" t="str">
        <x:v>A+</x:v>
      </x:c>
      <x:c r="AE9" s="12" t="str">
        <x:v>A definir</x:v>
      </x:c>
      <x:c r="AF9" s="12" t="str">
        <x:v>Anel masculino premium / Art Déco</x:v>
      </x:c>
      <x:c r="AG9" s="12" t="str">
        <x:v>Anel masculino premium / Art Déco</x:v>
      </x:c>
      <x:c r="AH9" s="12" t="str">
        <x:v>Coleção</x:v>
      </x:c>
      <x:c r="AI9" s="12" t="str"/>
      <x:c r="AJ9" s="12" t="str"/>
      <x:c r="AK9" s="12" t="str"/>
      <x:c r="AL9" s="12" t="str"/>
      <x:c r="AM9" s="12" t="str">
        <x:v>Não informado</x:v>
      </x:c>
      <x:c r="AN9" s="12" t="str"/>
      <x:c r="AO9" s="12" t="str">
        <x:v>2026-07-01</x:v>
      </x:c>
      <x:c r="AP9" s="12" t="str">
        <x:v>2026-07-19</x:v>
      </x:c>
      <x:c r="AQ9" s="12" t="str">
        <x:v>Alta</x:v>
      </x:c>
      <x:c r="AR9" s="12" t="str">
        <x:v>Inventário mestre completo atualizado em 2026-07-01</x:v>
      </x:c>
      <x:c r="AS9" s="12" t="str">
        <x:v>Precificação individual pendente</x:v>
      </x:c>
      <x:c r="AT9" s="12" t="str">
        <x:v>Avaliação visual; tratamentos não avaliados; confirmar naturalidade/tratamento em laboratório.</x:v>
      </x:c>
    </x:row>
    <x:row r="10">
      <x:c r="A10" s="12" t="str">
        <x:v>DG-EM-009</x:v>
      </x:c>
      <x:c r="B10" s="12" t="str"/>
      <x:c r="C10" s="12" t="str">
        <x:v>Emerald Collection</x:v>
      </x:c>
      <x:c r="D10" s="12" t="str">
        <x:v>Esmeraldas</x:v>
      </x:c>
      <x:c r="E10" s="12" t="str">
        <x:v>Berilo</x:v>
      </x:c>
      <x:c r="F10" s="12" t="str">
        <x:v>Esmeralda</x:v>
      </x:c>
      <x:c r="G10" s="12" t="str">
        <x:v>Gema individual</x:v>
      </x:c>
      <x:c r="H10" s="18" t="n">
        <x:v>1</x:v>
      </x:c>
      <x:c r="I10" s="12" t="str">
        <x:v>Emerald Cut</x:v>
      </x:c>
      <x:c r="J10" s="12" t="str">
        <x:v>13 x 10 x 4</x:v>
      </x:c>
      <x:c r="K10" s="14" t="n">
        <x:v>5.36</x:v>
      </x:c>
      <x:c r="L10" s="12" t="str">
        <x:v>Sim</x:v>
      </x:c>
      <x:c r="M10" s="12" t="str">
        <x:v>Balança / informado</x:v>
      </x:c>
      <x:c r="N10" s="12" t="str">
        <x:v>Verde vivo</x:v>
      </x:c>
      <x:c r="O10" s="12" t="str">
        <x:v>Semi-transparente a translúcida</x:v>
      </x:c>
      <x:c r="P10" s="12" t="str"/>
      <x:c r="Q10" s="12" t="str">
        <x:v>Não avaliado / não informado</x:v>
      </x:c>
      <x:c r="R10" s="12" t="str">
        <x:v>Não</x:v>
      </x:c>
      <x:c r="S10" s="12" t="str"/>
      <x:c r="T10" s="12" t="str"/>
      <x:c r="U10" s="20"/>
      <x:c r="V10" s="20"/>
      <x:c r="W10" s="20"/>
      <x:c r="X10" s="20"/>
      <x:c r="Y10" s="20"/>
      <x:c r="Z10" s="20"/>
      <x:c r="AA10" s="20"/>
      <x:c r="AB10" s="12" t="str">
        <x:v>Pendente de precificação individual</x:v>
      </x:c>
      <x:c r="AC10" s="16" t="n">
        <x:v>8.7</x:v>
      </x:c>
      <x:c r="AD10" s="12" t="str">
        <x:v>A</x:v>
      </x:c>
      <x:c r="AE10" s="12" t="str">
        <x:v>A definir</x:v>
      </x:c>
      <x:c r="AF10" s="12" t="str">
        <x:v>Anel clássico / pingente halo</x:v>
      </x:c>
      <x:c r="AG10" s="12" t="str">
        <x:v>Anel clássico / pingente halo</x:v>
      </x:c>
      <x:c r="AH10" s="12" t="str">
        <x:v>Coleção</x:v>
      </x:c>
      <x:c r="AI10" s="12" t="str"/>
      <x:c r="AJ10" s="12" t="str"/>
      <x:c r="AK10" s="12" t="str"/>
      <x:c r="AL10" s="12" t="str"/>
      <x:c r="AM10" s="12" t="str">
        <x:v>Não informado</x:v>
      </x:c>
      <x:c r="AN10" s="12" t="str"/>
      <x:c r="AO10" s="12" t="str">
        <x:v>2026-07-01</x:v>
      </x:c>
      <x:c r="AP10" s="12" t="str">
        <x:v>2026-07-19</x:v>
      </x:c>
      <x:c r="AQ10" s="12" t="str">
        <x:v>Alta</x:v>
      </x:c>
      <x:c r="AR10" s="12" t="str">
        <x:v>Inventário mestre completo atualizado em 2026-07-01</x:v>
      </x:c>
      <x:c r="AS10" s="12" t="str">
        <x:v>Precificação individual pendente</x:v>
      </x:c>
      <x:c r="AT10" s="12" t="str">
        <x:v>Avaliação visual; tratamentos não avaliados; confirmar naturalidade/tratamento em laboratório.</x:v>
      </x:c>
    </x:row>
    <x:row r="11">
      <x:c r="A11" s="12" t="str">
        <x:v>DG-EM-010</x:v>
      </x:c>
      <x:c r="B11" s="12" t="str"/>
      <x:c r="C11" s="12" t="str">
        <x:v>Emerald Collection</x:v>
      </x:c>
      <x:c r="D11" s="12" t="str">
        <x:v>Esmeraldas</x:v>
      </x:c>
      <x:c r="E11" s="12" t="str">
        <x:v>Berilo</x:v>
      </x:c>
      <x:c r="F11" s="12" t="str">
        <x:v>Esmeralda</x:v>
      </x:c>
      <x:c r="G11" s="12" t="str">
        <x:v>Gema individual</x:v>
      </x:c>
      <x:c r="H11" s="18" t="n">
        <x:v>1</x:v>
      </x:c>
      <x:c r="I11" s="12" t="str">
        <x:v>Gota</x:v>
      </x:c>
      <x:c r="J11" s="12" t="str">
        <x:v>15 x 11 x 5</x:v>
      </x:c>
      <x:c r="K11" s="14" t="n">
        <x:v>6.075</x:v>
      </x:c>
      <x:c r="L11" s="12" t="str">
        <x:v>Sim</x:v>
      </x:c>
      <x:c r="M11" s="12" t="str">
        <x:v>Balança / informado</x:v>
      </x:c>
      <x:c r="N11" s="12" t="str">
        <x:v>Verde saturado uniforme</x:v>
      </x:c>
      <x:c r="O11" s="12" t="str">
        <x:v>Semi-transparente a translúcida</x:v>
      </x:c>
      <x:c r="P11" s="12" t="str"/>
      <x:c r="Q11" s="12" t="str">
        <x:v>Não avaliado / não informado</x:v>
      </x:c>
      <x:c r="R11" s="12" t="str">
        <x:v>Não</x:v>
      </x:c>
      <x:c r="S11" s="12" t="str"/>
      <x:c r="T11" s="12" t="str"/>
      <x:c r="U11" s="20"/>
      <x:c r="V11" s="20"/>
      <x:c r="W11" s="20"/>
      <x:c r="X11" s="20"/>
      <x:c r="Y11" s="20"/>
      <x:c r="Z11" s="20"/>
      <x:c r="AA11" s="20"/>
      <x:c r="AB11" s="12" t="str">
        <x:v>Pendente de precificação individual</x:v>
      </x:c>
      <x:c r="AC11" s="16" t="n">
        <x:v>9.1</x:v>
      </x:c>
      <x:c r="AD11" s="12" t="str">
        <x:v>A+</x:v>
      </x:c>
      <x:c r="AE11" s="12" t="str">
        <x:v>A definir</x:v>
      </x:c>
      <x:c r="AF11" s="12" t="str">
        <x:v>Pingente alto padrão / anel solitário</x:v>
      </x:c>
      <x:c r="AG11" s="12" t="str">
        <x:v>Pingente alto padrão / anel solitário</x:v>
      </x:c>
      <x:c r="AH11" s="12" t="str">
        <x:v>Coleção</x:v>
      </x:c>
      <x:c r="AI11" s="12" t="str"/>
      <x:c r="AJ11" s="12" t="str"/>
      <x:c r="AK11" s="12" t="str"/>
      <x:c r="AL11" s="12" t="str"/>
      <x:c r="AM11" s="12" t="str">
        <x:v>Não informado</x:v>
      </x:c>
      <x:c r="AN11" s="12" t="str"/>
      <x:c r="AO11" s="12" t="str">
        <x:v>2026-07-01</x:v>
      </x:c>
      <x:c r="AP11" s="12" t="str">
        <x:v>2026-07-19</x:v>
      </x:c>
      <x:c r="AQ11" s="12" t="str">
        <x:v>Alta</x:v>
      </x:c>
      <x:c r="AR11" s="12" t="str">
        <x:v>Inventário mestre completo atualizado em 2026-07-01</x:v>
      </x:c>
      <x:c r="AS11" s="12" t="str">
        <x:v>Precificação individual pendente</x:v>
      </x:c>
      <x:c r="AT11" s="12" t="str">
        <x:v>Avaliação visual; tratamentos não avaliados; confirmar naturalidade/tratamento em laboratório.</x:v>
      </x:c>
    </x:row>
    <x:row r="12">
      <x:c r="A12" s="12" t="str">
        <x:v>DG-EM-011</x:v>
      </x:c>
      <x:c r="B12" s="12" t="str"/>
      <x:c r="C12" s="12" t="str">
        <x:v>Emerald Collection</x:v>
      </x:c>
      <x:c r="D12" s="12" t="str">
        <x:v>Esmeraldas</x:v>
      </x:c>
      <x:c r="E12" s="12" t="str">
        <x:v>Berilo</x:v>
      </x:c>
      <x:c r="F12" s="12" t="str">
        <x:v>Esmeralda</x:v>
      </x:c>
      <x:c r="G12" s="12" t="str">
        <x:v>Gema individual</x:v>
      </x:c>
      <x:c r="H12" s="18" t="n">
        <x:v>1</x:v>
      </x:c>
      <x:c r="I12" s="12" t="str">
        <x:v>Octogonal / Emerald Cut modificado</x:v>
      </x:c>
      <x:c r="J12" s="12" t="str">
        <x:v>10 x 11 x 9</x:v>
      </x:c>
      <x:c r="K12" s="14" t="n">
        <x:v>7.81</x:v>
      </x:c>
      <x:c r="L12" s="12" t="str">
        <x:v>Sim</x:v>
      </x:c>
      <x:c r="M12" s="12" t="str">
        <x:v>Balança / informado</x:v>
      </x:c>
      <x:c r="N12" s="12" t="str">
        <x:v>Verde intenso homogêneo</x:v>
      </x:c>
      <x:c r="O12" s="12" t="str">
        <x:v>Semi-transparente a translúcida</x:v>
      </x:c>
      <x:c r="P12" s="12" t="str"/>
      <x:c r="Q12" s="12" t="str">
        <x:v>Não avaliado / não informado</x:v>
      </x:c>
      <x:c r="R12" s="12" t="str">
        <x:v>Não</x:v>
      </x:c>
      <x:c r="S12" s="12" t="str"/>
      <x:c r="T12" s="12" t="str"/>
      <x:c r="U12" s="20"/>
      <x:c r="V12" s="20"/>
      <x:c r="W12" s="20"/>
      <x:c r="X12" s="20"/>
      <x:c r="Y12" s="20"/>
      <x:c r="Z12" s="20"/>
      <x:c r="AA12" s="20"/>
      <x:c r="AB12" s="12" t="str">
        <x:v>Pendente de precificação individual</x:v>
      </x:c>
      <x:c r="AC12" s="16" t="n">
        <x:v>8.9</x:v>
      </x:c>
      <x:c r="AD12" s="12" t="str">
        <x:v>A+ Premium</x:v>
      </x:c>
      <x:c r="AE12" s="12" t="str">
        <x:v>A definir</x:v>
      </x:c>
      <x:c r="AF12" s="12" t="str">
        <x:v>Anel masculino luxo / pingente clássico</x:v>
      </x:c>
      <x:c r="AG12" s="12" t="str">
        <x:v>Anel masculino luxo / pingente clássico</x:v>
      </x:c>
      <x:c r="AH12" s="12" t="str">
        <x:v>Coleção</x:v>
      </x:c>
      <x:c r="AI12" s="12" t="str"/>
      <x:c r="AJ12" s="12" t="str"/>
      <x:c r="AK12" s="12" t="str"/>
      <x:c r="AL12" s="12" t="str"/>
      <x:c r="AM12" s="12" t="str">
        <x:v>Não informado</x:v>
      </x:c>
      <x:c r="AN12" s="12" t="str"/>
      <x:c r="AO12" s="12" t="str">
        <x:v>2026-07-01</x:v>
      </x:c>
      <x:c r="AP12" s="12" t="str">
        <x:v>2026-07-19</x:v>
      </x:c>
      <x:c r="AQ12" s="12" t="str">
        <x:v>Alta</x:v>
      </x:c>
      <x:c r="AR12" s="12" t="str">
        <x:v>Inventário mestre completo atualizado em 2026-07-01</x:v>
      </x:c>
      <x:c r="AS12" s="12" t="str">
        <x:v>Precificação individual pendente</x:v>
      </x:c>
      <x:c r="AT12" s="12" t="str">
        <x:v>Avaliação visual; tratamentos não avaliados; confirmar naturalidade/tratamento em laboratório.</x:v>
      </x:c>
    </x:row>
    <x:row r="13">
      <x:c r="A13" s="12" t="str">
        <x:v>DG-EM-012</x:v>
      </x:c>
      <x:c r="B13" s="12" t="str"/>
      <x:c r="C13" s="12" t="str">
        <x:v>Emerald Collection</x:v>
      </x:c>
      <x:c r="D13" s="12" t="str">
        <x:v>Esmeraldas</x:v>
      </x:c>
      <x:c r="E13" s="12" t="str">
        <x:v>Berilo</x:v>
      </x:c>
      <x:c r="F13" s="12" t="str">
        <x:v>Esmeralda</x:v>
      </x:c>
      <x:c r="G13" s="12" t="str">
        <x:v>Gema individual</x:v>
      </x:c>
      <x:c r="H13" s="18" t="n">
        <x:v>1</x:v>
      </x:c>
      <x:c r="I13" s="12" t="str">
        <x:v>Gota alongada</x:v>
      </x:c>
      <x:c r="J13" s="12" t="str">
        <x:v>16 x 9 x 6</x:v>
      </x:c>
      <x:c r="K13" s="14" t="n">
        <x:v>5.24</x:v>
      </x:c>
      <x:c r="L13" s="12" t="str">
        <x:v>Sim</x:v>
      </x:c>
      <x:c r="M13" s="12" t="str">
        <x:v>Balança / informado</x:v>
      </x:c>
      <x:c r="N13" s="12" t="str">
        <x:v>Verde levemente azulado vivo</x:v>
      </x:c>
      <x:c r="O13" s="12" t="str">
        <x:v>Semi-transparente a translúcida</x:v>
      </x:c>
      <x:c r="P13" s="12" t="str"/>
      <x:c r="Q13" s="12" t="str">
        <x:v>Não avaliado / não informado</x:v>
      </x:c>
      <x:c r="R13" s="12" t="str">
        <x:v>Não</x:v>
      </x:c>
      <x:c r="S13" s="12" t="str"/>
      <x:c r="T13" s="12" t="str"/>
      <x:c r="U13" s="20"/>
      <x:c r="V13" s="20"/>
      <x:c r="W13" s="20"/>
      <x:c r="X13" s="20"/>
      <x:c r="Y13" s="20"/>
      <x:c r="Z13" s="20"/>
      <x:c r="AA13" s="20"/>
      <x:c r="AB13" s="12" t="str">
        <x:v>Pendente de precificação individual</x:v>
      </x:c>
      <x:c r="AC13" s="16" t="n">
        <x:v>8.6</x:v>
      </x:c>
      <x:c r="AD13" s="12" t="str">
        <x:v>A</x:v>
      </x:c>
      <x:c r="AE13" s="12" t="str">
        <x:v>A definir</x:v>
      </x:c>
      <x:c r="AF13" s="12" t="str">
        <x:v>Pingente gota / anel</x:v>
      </x:c>
      <x:c r="AG13" s="12" t="str">
        <x:v>Pingente gota / anel</x:v>
      </x:c>
      <x:c r="AH13" s="12" t="str">
        <x:v>Coleção</x:v>
      </x:c>
      <x:c r="AI13" s="12" t="str"/>
      <x:c r="AJ13" s="12" t="str"/>
      <x:c r="AK13" s="12" t="str"/>
      <x:c r="AL13" s="12" t="str"/>
      <x:c r="AM13" s="12" t="str">
        <x:v>Não informado</x:v>
      </x:c>
      <x:c r="AN13" s="12" t="str"/>
      <x:c r="AO13" s="12" t="str">
        <x:v>2026-07-01</x:v>
      </x:c>
      <x:c r="AP13" s="12" t="str">
        <x:v>2026-07-19</x:v>
      </x:c>
      <x:c r="AQ13" s="12" t="str">
        <x:v>Alta</x:v>
      </x:c>
      <x:c r="AR13" s="12" t="str">
        <x:v>Inventário mestre completo atualizado em 2026-07-01</x:v>
      </x:c>
      <x:c r="AS13" s="12" t="str">
        <x:v>Precificação individual pendente</x:v>
      </x:c>
      <x:c r="AT13" s="12" t="str">
        <x:v>Avaliação visual; tratamentos não avaliados; confirmar naturalidade/tratamento em laboratório.</x:v>
      </x:c>
    </x:row>
    <x:row r="14">
      <x:c r="A14" s="12" t="str">
        <x:v>DG-EM-013</x:v>
      </x:c>
      <x:c r="B14" s="12" t="str"/>
      <x:c r="C14" s="12" t="str">
        <x:v>Emerald Collection</x:v>
      </x:c>
      <x:c r="D14" s="12" t="str">
        <x:v>Esmeraldas</x:v>
      </x:c>
      <x:c r="E14" s="12" t="str">
        <x:v>Berilo</x:v>
      </x:c>
      <x:c r="F14" s="12" t="str">
        <x:v>Esmeralda</x:v>
      </x:c>
      <x:c r="G14" s="12" t="str">
        <x:v>Gema individual</x:v>
      </x:c>
      <x:c r="H14" s="18" t="n">
        <x:v>1</x:v>
      </x:c>
      <x:c r="I14" s="12" t="str">
        <x:v>Octogonal/Emerald Cut</x:v>
      </x:c>
      <x:c r="J14" s="12" t="str">
        <x:v>10 x 10 x 5</x:v>
      </x:c>
      <x:c r="K14" s="14" t="n">
        <x:v>5.855</x:v>
      </x:c>
      <x:c r="L14" s="12" t="str">
        <x:v>Sim</x:v>
      </x:c>
      <x:c r="M14" s="12" t="str">
        <x:v>Balança / informado</x:v>
      </x:c>
      <x:c r="N14" s="12" t="str">
        <x:v>Verde claro acinzentado</x:v>
      </x:c>
      <x:c r="O14" s="12" t="str">
        <x:v>Semi-transparente a translúcida</x:v>
      </x:c>
      <x:c r="P14" s="12" t="str"/>
      <x:c r="Q14" s="12" t="str">
        <x:v>Não avaliado / não informado</x:v>
      </x:c>
      <x:c r="R14" s="12" t="str">
        <x:v>Não</x:v>
      </x:c>
      <x:c r="S14" s="12" t="str"/>
      <x:c r="T14" s="12" t="str"/>
      <x:c r="U14" s="20"/>
      <x:c r="V14" s="20"/>
      <x:c r="W14" s="20"/>
      <x:c r="X14" s="20"/>
      <x:c r="Y14" s="20"/>
      <x:c r="Z14" s="20"/>
      <x:c r="AA14" s="20"/>
      <x:c r="AB14" s="12" t="str">
        <x:v>Pendente de precificação individual</x:v>
      </x:c>
      <x:c r="AC14" s="16" t="n">
        <x:v>7.7</x:v>
      </x:c>
      <x:c r="AD14" s="12" t="str">
        <x:v>A</x:v>
      </x:c>
      <x:c r="AE14" s="12" t="str">
        <x:v>A definir</x:v>
      </x:c>
      <x:c r="AF14" s="12" t="str">
        <x:v>Anel ou pingente comercial</x:v>
      </x:c>
      <x:c r="AG14" s="12" t="str">
        <x:v>Anel ou pingente comercial</x:v>
      </x:c>
      <x:c r="AH14" s="12" t="str">
        <x:v>Coleção</x:v>
      </x:c>
      <x:c r="AI14" s="12" t="str"/>
      <x:c r="AJ14" s="12" t="str"/>
      <x:c r="AK14" s="12" t="str"/>
      <x:c r="AL14" s="12" t="str"/>
      <x:c r="AM14" s="12" t="str">
        <x:v>Não informado</x:v>
      </x:c>
      <x:c r="AN14" s="12" t="str"/>
      <x:c r="AO14" s="12" t="str">
        <x:v>2026-07-01</x:v>
      </x:c>
      <x:c r="AP14" s="12" t="str">
        <x:v>2026-07-19</x:v>
      </x:c>
      <x:c r="AQ14" s="12" t="str">
        <x:v>Alta</x:v>
      </x:c>
      <x:c r="AR14" s="12" t="str">
        <x:v>Inventário mestre completo atualizado em 2026-07-01</x:v>
      </x:c>
      <x:c r="AS14" s="12" t="str">
        <x:v>Precificação individual pendente</x:v>
      </x:c>
      <x:c r="AT14" s="12" t="str">
        <x:v>Avaliação visual; tratamentos não avaliados; confirmar naturalidade/tratamento em laboratório.</x:v>
      </x:c>
    </x:row>
    <x:row r="15">
      <x:c r="A15" s="12" t="str">
        <x:v>DG-EM-014</x:v>
      </x:c>
      <x:c r="B15" s="12" t="str"/>
      <x:c r="C15" s="12" t="str">
        <x:v>Emerald Collection</x:v>
      </x:c>
      <x:c r="D15" s="12" t="str">
        <x:v>Esmeraldas</x:v>
      </x:c>
      <x:c r="E15" s="12" t="str">
        <x:v>Berilo</x:v>
      </x:c>
      <x:c r="F15" s="12" t="str">
        <x:v>Esmeralda</x:v>
      </x:c>
      <x:c r="G15" s="12" t="str">
        <x:v>Gema individual</x:v>
      </x:c>
      <x:c r="H15" s="18" t="n">
        <x:v>1</x:v>
      </x:c>
      <x:c r="I15" s="12" t="str">
        <x:v>Gota</x:v>
      </x:c>
      <x:c r="J15" s="12" t="str">
        <x:v>10 x 9 x 4</x:v>
      </x:c>
      <x:c r="K15" s="14" t="n">
        <x:v>2.46</x:v>
      </x:c>
      <x:c r="L15" s="12" t="str">
        <x:v>Sim</x:v>
      </x:c>
      <x:c r="M15" s="12" t="str">
        <x:v>Balança / informado</x:v>
      </x:c>
      <x:c r="N15" s="12" t="str">
        <x:v>Verde vivo</x:v>
      </x:c>
      <x:c r="O15" s="12" t="str">
        <x:v>Semi-transparente a translúcida</x:v>
      </x:c>
      <x:c r="P15" s="12" t="str"/>
      <x:c r="Q15" s="12" t="str">
        <x:v>Não avaliado / não informado</x:v>
      </x:c>
      <x:c r="R15" s="12" t="str">
        <x:v>Não</x:v>
      </x:c>
      <x:c r="S15" s="12" t="str"/>
      <x:c r="T15" s="12" t="str"/>
      <x:c r="U15" s="20"/>
      <x:c r="V15" s="20"/>
      <x:c r="W15" s="20"/>
      <x:c r="X15" s="20"/>
      <x:c r="Y15" s="20"/>
      <x:c r="Z15" s="20"/>
      <x:c r="AA15" s="20"/>
      <x:c r="AB15" s="12" t="str">
        <x:v>Pendente de precificação individual</x:v>
      </x:c>
      <x:c r="AC15" s="16" t="n">
        <x:v>8</x:v>
      </x:c>
      <x:c r="AD15" s="12" t="str">
        <x:v>A-</x:v>
      </x:c>
      <x:c r="AE15" s="12" t="str">
        <x:v>A definir</x:v>
      </x:c>
      <x:c r="AF15" s="12" t="str">
        <x:v>Anel solitário / pingente delicado</x:v>
      </x:c>
      <x:c r="AG15" s="12" t="str">
        <x:v>Anel solitário / pingente delicado</x:v>
      </x:c>
      <x:c r="AH15" s="12" t="str">
        <x:v>Coleção</x:v>
      </x:c>
      <x:c r="AI15" s="12" t="str"/>
      <x:c r="AJ15" s="12" t="str"/>
      <x:c r="AK15" s="12" t="str"/>
      <x:c r="AL15" s="12" t="str"/>
      <x:c r="AM15" s="12" t="str">
        <x:v>Não informado</x:v>
      </x:c>
      <x:c r="AN15" s="12" t="str"/>
      <x:c r="AO15" s="12" t="str">
        <x:v>2026-07-01</x:v>
      </x:c>
      <x:c r="AP15" s="12" t="str">
        <x:v>2026-07-19</x:v>
      </x:c>
      <x:c r="AQ15" s="12" t="str">
        <x:v>Alta</x:v>
      </x:c>
      <x:c r="AR15" s="12" t="str">
        <x:v>Inventário mestre completo atualizado em 2026-07-01</x:v>
      </x:c>
      <x:c r="AS15" s="12" t="str">
        <x:v>Precificação individual pendente</x:v>
      </x:c>
      <x:c r="AT15" s="12" t="str">
        <x:v>Avaliação visual; tratamentos não avaliados; confirmar naturalidade/tratamento em laboratório.</x:v>
      </x:c>
    </x:row>
    <x:row r="16">
      <x:c r="A16" s="12" t="str">
        <x:v>DG-EM-015</x:v>
      </x:c>
      <x:c r="B16" s="12" t="str"/>
      <x:c r="C16" s="12" t="str">
        <x:v>Emerald Collection</x:v>
      </x:c>
      <x:c r="D16" s="12" t="str">
        <x:v>Esmeraldas</x:v>
      </x:c>
      <x:c r="E16" s="12" t="str">
        <x:v>Berilo</x:v>
      </x:c>
      <x:c r="F16" s="12" t="str">
        <x:v>Esmeralda</x:v>
      </x:c>
      <x:c r="G16" s="12" t="str">
        <x:v>Gema individual</x:v>
      </x:c>
      <x:c r="H16" s="18" t="n">
        <x:v>1</x:v>
      </x:c>
      <x:c r="I16" s="12" t="str">
        <x:v>Octogonal / Emerald Cut modificada</x:v>
      </x:c>
      <x:c r="J16" s="12" t="str">
        <x:v>10 x 9 x 3</x:v>
      </x:c>
      <x:c r="K16" s="14" t="n">
        <x:v>3.76</x:v>
      </x:c>
      <x:c r="L16" s="12" t="str">
        <x:v>Sim</x:v>
      </x:c>
      <x:c r="M16" s="12" t="str">
        <x:v>Balança / informado</x:v>
      </x:c>
      <x:c r="N16" s="12" t="str">
        <x:v>Verde médio/amarelado</x:v>
      </x:c>
      <x:c r="O16" s="12" t="str">
        <x:v>Semi-transparente a translúcida</x:v>
      </x:c>
      <x:c r="P16" s="12" t="str"/>
      <x:c r="Q16" s="12" t="str">
        <x:v>Não avaliado / não informado</x:v>
      </x:c>
      <x:c r="R16" s="12" t="str">
        <x:v>Não</x:v>
      </x:c>
      <x:c r="S16" s="12" t="str"/>
      <x:c r="T16" s="12" t="str"/>
      <x:c r="U16" s="20"/>
      <x:c r="V16" s="20"/>
      <x:c r="W16" s="20"/>
      <x:c r="X16" s="20"/>
      <x:c r="Y16" s="20"/>
      <x:c r="Z16" s="20"/>
      <x:c r="AA16" s="20"/>
      <x:c r="AB16" s="12" t="str">
        <x:v>Pendente de precificação individual</x:v>
      </x:c>
      <x:c r="AC16" s="16" t="n">
        <x:v>8</x:v>
      </x:c>
      <x:c r="AD16" s="12" t="str">
        <x:v>A</x:v>
      </x:c>
      <x:c r="AE16" s="12" t="str">
        <x:v>A definir</x:v>
      </x:c>
      <x:c r="AF16" s="12" t="str">
        <x:v>Anel masculino / pingente vintage</x:v>
      </x:c>
      <x:c r="AG16" s="12" t="str">
        <x:v>Anel masculino / pingente vintage</x:v>
      </x:c>
      <x:c r="AH16" s="12" t="str">
        <x:v>Coleção</x:v>
      </x:c>
      <x:c r="AI16" s="12" t="str"/>
      <x:c r="AJ16" s="12" t="str"/>
      <x:c r="AK16" s="12" t="str"/>
      <x:c r="AL16" s="12" t="str"/>
      <x:c r="AM16" s="12" t="str">
        <x:v>Não informado</x:v>
      </x:c>
      <x:c r="AN16" s="12" t="str"/>
      <x:c r="AO16" s="12" t="str">
        <x:v>2026-07-01</x:v>
      </x:c>
      <x:c r="AP16" s="12" t="str">
        <x:v>2026-07-19</x:v>
      </x:c>
      <x:c r="AQ16" s="12" t="str">
        <x:v>Alta</x:v>
      </x:c>
      <x:c r="AR16" s="12" t="str">
        <x:v>Inventário mestre completo atualizado em 2026-07-01</x:v>
      </x:c>
      <x:c r="AS16" s="12" t="str">
        <x:v>Precificação individual pendente</x:v>
      </x:c>
      <x:c r="AT16" s="12" t="str">
        <x:v>Avaliação visual; tratamentos não avaliados; confirmar naturalidade/tratamento em laboratório.</x:v>
      </x:c>
    </x:row>
    <x:row r="17">
      <x:c r="A17" s="12" t="str">
        <x:v>DG-EM-016</x:v>
      </x:c>
      <x:c r="B17" s="12" t="str"/>
      <x:c r="C17" s="12" t="str">
        <x:v>Emerald Collection</x:v>
      </x:c>
      <x:c r="D17" s="12" t="str">
        <x:v>Esmeraldas</x:v>
      </x:c>
      <x:c r="E17" s="12" t="str">
        <x:v>Berilo</x:v>
      </x:c>
      <x:c r="F17" s="12" t="str">
        <x:v>Esmeralda</x:v>
      </x:c>
      <x:c r="G17" s="12" t="str">
        <x:v>Gema individual</x:v>
      </x:c>
      <x:c r="H17" s="18" t="n">
        <x:v>1</x:v>
      </x:c>
      <x:c r="I17" s="12" t="str">
        <x:v>Octogonal / Emerald Cut</x:v>
      </x:c>
      <x:c r="J17" s="12" t="str">
        <x:v>7 x 7 x 2-3</x:v>
      </x:c>
      <x:c r="K17" s="14" t="n">
        <x:v>2.815</x:v>
      </x:c>
      <x:c r="L17" s="12" t="str">
        <x:v>Sim</x:v>
      </x:c>
      <x:c r="M17" s="12" t="str">
        <x:v>Balança / informado</x:v>
      </x:c>
      <x:c r="N17" s="12" t="str">
        <x:v>Verde médio-intenso</x:v>
      </x:c>
      <x:c r="O17" s="12" t="str">
        <x:v>Semi-transparente a translúcida</x:v>
      </x:c>
      <x:c r="P17" s="12" t="str"/>
      <x:c r="Q17" s="12" t="str">
        <x:v>Não avaliado / não informado</x:v>
      </x:c>
      <x:c r="R17" s="12" t="str">
        <x:v>Não</x:v>
      </x:c>
      <x:c r="S17" s="12" t="str"/>
      <x:c r="T17" s="12" t="str"/>
      <x:c r="U17" s="20"/>
      <x:c r="V17" s="20"/>
      <x:c r="W17" s="20"/>
      <x:c r="X17" s="20"/>
      <x:c r="Y17" s="20"/>
      <x:c r="Z17" s="20"/>
      <x:c r="AA17" s="20"/>
      <x:c r="AB17" s="12" t="str">
        <x:v>Pendente de precificação individual</x:v>
      </x:c>
      <x:c r="AC17" s="16" t="n">
        <x:v>8.1</x:v>
      </x:c>
      <x:c r="AD17" s="12" t="str">
        <x:v>A</x:v>
      </x:c>
      <x:c r="AE17" s="12" t="str">
        <x:v>A definir</x:v>
      </x:c>
      <x:c r="AF17" s="12" t="str">
        <x:v>Anel delicado / brincos</x:v>
      </x:c>
      <x:c r="AG17" s="12" t="str">
        <x:v>Anel delicado / brincos</x:v>
      </x:c>
      <x:c r="AH17" s="12" t="str">
        <x:v>Coleção</x:v>
      </x:c>
      <x:c r="AI17" s="12" t="str"/>
      <x:c r="AJ17" s="12" t="str"/>
      <x:c r="AK17" s="12" t="str"/>
      <x:c r="AL17" s="12" t="str"/>
      <x:c r="AM17" s="12" t="str">
        <x:v>Não informado</x:v>
      </x:c>
      <x:c r="AN17" s="12" t="str"/>
      <x:c r="AO17" s="12" t="str">
        <x:v>2026-07-01</x:v>
      </x:c>
      <x:c r="AP17" s="12" t="str">
        <x:v>2026-07-19</x:v>
      </x:c>
      <x:c r="AQ17" s="12" t="str">
        <x:v>Alta</x:v>
      </x:c>
      <x:c r="AR17" s="12" t="str">
        <x:v>Inventário mestre completo atualizado em 2026-07-01</x:v>
      </x:c>
      <x:c r="AS17" s="12" t="str">
        <x:v>Precificação individual pendente</x:v>
      </x:c>
      <x:c r="AT17" s="12" t="str">
        <x:v>Avaliação visual; tratamentos não avaliados; confirmar naturalidade/tratamento em laboratório.</x:v>
      </x:c>
    </x:row>
    <x:row r="18">
      <x:c r="A18" s="12" t="str">
        <x:v>DG-EM-017</x:v>
      </x:c>
      <x:c r="B18" s="12" t="str"/>
      <x:c r="C18" s="12" t="str">
        <x:v>Emerald Collection</x:v>
      </x:c>
      <x:c r="D18" s="12" t="str">
        <x:v>Esmeraldas</x:v>
      </x:c>
      <x:c r="E18" s="12" t="str">
        <x:v>Berilo</x:v>
      </x:c>
      <x:c r="F18" s="12" t="str">
        <x:v>Esmeralda</x:v>
      </x:c>
      <x:c r="G18" s="12" t="str">
        <x:v>Gema individual</x:v>
      </x:c>
      <x:c r="H18" s="18" t="n">
        <x:v>1</x:v>
      </x:c>
      <x:c r="I18" s="12" t="str">
        <x:v>Retangular Octogonal / Emerald Cut</x:v>
      </x:c>
      <x:c r="J18" s="12" t="str">
        <x:v>8 x 7 x 2</x:v>
      </x:c>
      <x:c r="K18" s="14" t="n">
        <x:v>1.87</x:v>
      </x:c>
      <x:c r="L18" s="12" t="str">
        <x:v>Sim</x:v>
      </x:c>
      <x:c r="M18" s="12" t="str">
        <x:v>Balança / informado</x:v>
      </x:c>
      <x:c r="N18" s="12" t="str">
        <x:v>Verde médio-intenso</x:v>
      </x:c>
      <x:c r="O18" s="12" t="str">
        <x:v>Semi-transparente a translúcida</x:v>
      </x:c>
      <x:c r="P18" s="12" t="str"/>
      <x:c r="Q18" s="12" t="str">
        <x:v>Não avaliado / não informado</x:v>
      </x:c>
      <x:c r="R18" s="12" t="str">
        <x:v>Não</x:v>
      </x:c>
      <x:c r="S18" s="12" t="str"/>
      <x:c r="T18" s="12" t="str"/>
      <x:c r="U18" s="20"/>
      <x:c r="V18" s="20"/>
      <x:c r="W18" s="20"/>
      <x:c r="X18" s="20"/>
      <x:c r="Y18" s="20"/>
      <x:c r="Z18" s="20"/>
      <x:c r="AA18" s="20"/>
      <x:c r="AB18" s="12" t="str">
        <x:v>Pendente de precificação individual</x:v>
      </x:c>
      <x:c r="AC18" s="16" t="n">
        <x:v>8.3</x:v>
      </x:c>
      <x:c r="AD18" s="12" t="str">
        <x:v>A</x:v>
      </x:c>
      <x:c r="AE18" s="12" t="str">
        <x:v>A definir</x:v>
      </x:c>
      <x:c r="AF18" s="12" t="str">
        <x:v>Anel solitário delicado / brinco</x:v>
      </x:c>
      <x:c r="AG18" s="12" t="str">
        <x:v>Anel solitário delicado / brinco</x:v>
      </x:c>
      <x:c r="AH18" s="12" t="str">
        <x:v>Coleção</x:v>
      </x:c>
      <x:c r="AI18" s="12" t="str"/>
      <x:c r="AJ18" s="12" t="str"/>
      <x:c r="AK18" s="12" t="str"/>
      <x:c r="AL18" s="12" t="str"/>
      <x:c r="AM18" s="12" t="str">
        <x:v>Não informado</x:v>
      </x:c>
      <x:c r="AN18" s="12" t="str"/>
      <x:c r="AO18" s="12" t="str">
        <x:v>2026-07-01</x:v>
      </x:c>
      <x:c r="AP18" s="12" t="str">
        <x:v>2026-07-19</x:v>
      </x:c>
      <x:c r="AQ18" s="12" t="str">
        <x:v>Alta</x:v>
      </x:c>
      <x:c r="AR18" s="12" t="str">
        <x:v>Inventário mestre completo atualizado em 2026-07-01</x:v>
      </x:c>
      <x:c r="AS18" s="12" t="str">
        <x:v>Precificação individual pendente</x:v>
      </x:c>
      <x:c r="AT18" s="12" t="str">
        <x:v>Avaliação visual; tratamentos não avaliados; confirmar naturalidade/tratamento em laboratório.</x:v>
      </x:c>
    </x:row>
    <x:row r="19">
      <x:c r="A19" s="12" t="str">
        <x:v>DG-EM-018</x:v>
      </x:c>
      <x:c r="B19" s="12" t="str"/>
      <x:c r="C19" s="12" t="str">
        <x:v>Emerald Collection</x:v>
      </x:c>
      <x:c r="D19" s="12" t="str">
        <x:v>Esmeraldas</x:v>
      </x:c>
      <x:c r="E19" s="12" t="str">
        <x:v>Berilo</x:v>
      </x:c>
      <x:c r="F19" s="12" t="str">
        <x:v>Esmeralda</x:v>
      </x:c>
      <x:c r="G19" s="12" t="str">
        <x:v>Gema individual</x:v>
      </x:c>
      <x:c r="H19" s="18" t="n">
        <x:v>1</x:v>
      </x:c>
      <x:c r="I19" s="12" t="str">
        <x:v>Oval</x:v>
      </x:c>
      <x:c r="J19" s="12" t="str">
        <x:v>10 x 6 x 3</x:v>
      </x:c>
      <x:c r="K19" s="14" t="n">
        <x:v>1.83</x:v>
      </x:c>
      <x:c r="L19" s="12" t="str">
        <x:v>Sim</x:v>
      </x:c>
      <x:c r="M19" s="12" t="str">
        <x:v>Balança / informado</x:v>
      </x:c>
      <x:c r="N19" s="12" t="str">
        <x:v>Verde vivo</x:v>
      </x:c>
      <x:c r="O19" s="12" t="str">
        <x:v>Semi-transparente a translúcida</x:v>
      </x:c>
      <x:c r="P19" s="12" t="str"/>
      <x:c r="Q19" s="12" t="str">
        <x:v>Não avaliado / não informado</x:v>
      </x:c>
      <x:c r="R19" s="12" t="str">
        <x:v>Não</x:v>
      </x:c>
      <x:c r="S19" s="12" t="str"/>
      <x:c r="T19" s="12" t="str"/>
      <x:c r="U19" s="20"/>
      <x:c r="V19" s="20"/>
      <x:c r="W19" s="20"/>
      <x:c r="X19" s="20"/>
      <x:c r="Y19" s="20"/>
      <x:c r="Z19" s="20"/>
      <x:c r="AA19" s="20"/>
      <x:c r="AB19" s="12" t="str">
        <x:v>Pendente de precificação individual</x:v>
      </x:c>
      <x:c r="AC19" s="16" t="n">
        <x:v>8.5</x:v>
      </x:c>
      <x:c r="AD19" s="12" t="str">
        <x:v>A</x:v>
      </x:c>
      <x:c r="AE19" s="12" t="str">
        <x:v>A definir</x:v>
      </x:c>
      <x:c r="AF19" s="12" t="str">
        <x:v>Anel solitário / pingente clássico</x:v>
      </x:c>
      <x:c r="AG19" s="12" t="str">
        <x:v>Anel solitário / pingente clássico</x:v>
      </x:c>
      <x:c r="AH19" s="12" t="str">
        <x:v>Coleção</x:v>
      </x:c>
      <x:c r="AI19" s="12" t="str"/>
      <x:c r="AJ19" s="12" t="str"/>
      <x:c r="AK19" s="12" t="str"/>
      <x:c r="AL19" s="12" t="str"/>
      <x:c r="AM19" s="12" t="str">
        <x:v>Não informado</x:v>
      </x:c>
      <x:c r="AN19" s="12" t="str"/>
      <x:c r="AO19" s="12" t="str">
        <x:v>2026-07-01</x:v>
      </x:c>
      <x:c r="AP19" s="12" t="str">
        <x:v>2026-07-19</x:v>
      </x:c>
      <x:c r="AQ19" s="12" t="str">
        <x:v>Alta</x:v>
      </x:c>
      <x:c r="AR19" s="12" t="str">
        <x:v>Inventário mestre completo atualizado em 2026-07-01</x:v>
      </x:c>
      <x:c r="AS19" s="12" t="str">
        <x:v>Precificação individual pendente</x:v>
      </x:c>
      <x:c r="AT19" s="12" t="str">
        <x:v>Avaliação visual; tratamentos não avaliados; confirmar naturalidade/tratamento em laboratório.</x:v>
      </x:c>
    </x:row>
    <x:row r="20">
      <x:c r="A20" s="12" t="str">
        <x:v>DG-EM-019</x:v>
      </x:c>
      <x:c r="B20" s="12" t="str"/>
      <x:c r="C20" s="12" t="str">
        <x:v>Emerald Collection</x:v>
      </x:c>
      <x:c r="D20" s="12" t="str">
        <x:v>Esmeraldas</x:v>
      </x:c>
      <x:c r="E20" s="12" t="str">
        <x:v>Berilo</x:v>
      </x:c>
      <x:c r="F20" s="12" t="str">
        <x:v>Esmeralda</x:v>
      </x:c>
      <x:c r="G20" s="12" t="str">
        <x:v>Lote</x:v>
      </x:c>
      <x:c r="H20" s="18" t="n">
        <x:v>13</x:v>
      </x:c>
      <x:c r="I20" s="12" t="str">
        <x:v>Formatos variados / melee</x:v>
      </x:c>
      <x:c r="J20" s="12" t="str">
        <x:v>2 a 6 mm variados</x:v>
      </x:c>
      <x:c r="K20" s="14" t="n">
        <x:v>4.56</x:v>
      </x:c>
      <x:c r="L20" s="12" t="str">
        <x:v>Sim</x:v>
      </x:c>
      <x:c r="M20" s="12" t="str">
        <x:v>Balança / informado</x:v>
      </x:c>
      <x:c r="N20" s="12" t="str">
        <x:v>Verdes variados</x:v>
      </x:c>
      <x:c r="O20" s="12" t="str">
        <x:v>Semi-transparente a translúcida</x:v>
      </x:c>
      <x:c r="P20" s="12" t="str"/>
      <x:c r="Q20" s="12" t="str">
        <x:v>Não avaliado / não informado</x:v>
      </x:c>
      <x:c r="R20" s="12" t="str">
        <x:v>Não</x:v>
      </x:c>
      <x:c r="S20" s="12" t="str"/>
      <x:c r="T20" s="12" t="str"/>
      <x:c r="U20" s="20"/>
      <x:c r="V20" s="20"/>
      <x:c r="W20" s="20"/>
      <x:c r="X20" s="20"/>
      <x:c r="Y20" s="20"/>
      <x:c r="Z20" s="20"/>
      <x:c r="AA20" s="20"/>
      <x:c r="AB20" s="12" t="str">
        <x:v>Pendente de precificação individual</x:v>
      </x:c>
      <x:c r="AC20" s="16" t="n">
        <x:v>8.1</x:v>
      </x:c>
      <x:c r="AD20" s="12" t="str">
        <x:v>A-</x:v>
      </x:c>
      <x:c r="AE20" s="12" t="str">
        <x:v>A definir</x:v>
      </x:c>
      <x:c r="AF20" s="12" t="str">
        <x:v>Halo, pavê, riviera, crucifixos</x:v>
      </x:c>
      <x:c r="AG20" s="12" t="str">
        <x:v>Halo, pavê, riviera, crucifixos</x:v>
      </x:c>
      <x:c r="AH20" s="12" t="str">
        <x:v>Coleção</x:v>
      </x:c>
      <x:c r="AI20" s="12" t="str"/>
      <x:c r="AJ20" s="12" t="str"/>
      <x:c r="AK20" s="12" t="str"/>
      <x:c r="AL20" s="12" t="str"/>
      <x:c r="AM20" s="12" t="str">
        <x:v>Não informado</x:v>
      </x:c>
      <x:c r="AN20" s="12" t="str"/>
      <x:c r="AO20" s="12" t="str">
        <x:v>2026-07-01</x:v>
      </x:c>
      <x:c r="AP20" s="12" t="str">
        <x:v>2026-07-19</x:v>
      </x:c>
      <x:c r="AQ20" s="12" t="str">
        <x:v>Alta</x:v>
      </x:c>
      <x:c r="AR20" s="12" t="str">
        <x:v>Inventário mestre completo atualizado em 2026-07-01</x:v>
      </x:c>
      <x:c r="AS20" s="12" t="str">
        <x:v>Precificação individual pendente</x:v>
      </x:c>
      <x:c r="AT20" s="12" t="str">
        <x:v>Avaliação visual; tratamentos não avaliados; confirmar naturalidade/tratamento em laboratório. Lote de 13 pedras; peso médio 0,351 ct.</x:v>
      </x:c>
    </x:row>
    <x:row r="21">
      <x:c r="A21" s="12" t="str">
        <x:v>DG-EM-020</x:v>
      </x:c>
      <x:c r="B21" s="12" t="str"/>
      <x:c r="C21" s="12" t="str">
        <x:v>Emerald Collection</x:v>
      </x:c>
      <x:c r="D21" s="12" t="str">
        <x:v>Esmeraldas</x:v>
      </x:c>
      <x:c r="E21" s="12" t="str">
        <x:v>Berilo</x:v>
      </x:c>
      <x:c r="F21" s="12" t="str">
        <x:v>Esmeralda</x:v>
      </x:c>
      <x:c r="G21" s="12" t="str">
        <x:v>Gema individual</x:v>
      </x:c>
      <x:c r="H21" s="18" t="n">
        <x:v>1</x:v>
      </x:c>
      <x:c r="I21" s="12" t="str">
        <x:v>Oval</x:v>
      </x:c>
      <x:c r="J21" s="12" t="str">
        <x:v>9 x 6 x 4</x:v>
      </x:c>
      <x:c r="K21" s="14" t="n">
        <x:v>1.54</x:v>
      </x:c>
      <x:c r="L21" s="12" t="str">
        <x:v>Sim</x:v>
      </x:c>
      <x:c r="M21" s="12" t="str">
        <x:v>Balança / informado</x:v>
      </x:c>
      <x:c r="N21" s="12" t="str">
        <x:v>Verde médio a intenso</x:v>
      </x:c>
      <x:c r="O21" s="12" t="str">
        <x:v>Semi-transparente a translúcida</x:v>
      </x:c>
      <x:c r="P21" s="12" t="str"/>
      <x:c r="Q21" s="12" t="str">
        <x:v>Não avaliado / não informado</x:v>
      </x:c>
      <x:c r="R21" s="12" t="str">
        <x:v>Não</x:v>
      </x:c>
      <x:c r="S21" s="12" t="str"/>
      <x:c r="T21" s="12" t="str"/>
      <x:c r="U21" s="20"/>
      <x:c r="V21" s="20"/>
      <x:c r="W21" s="20"/>
      <x:c r="X21" s="20"/>
      <x:c r="Y21" s="20"/>
      <x:c r="Z21" s="20"/>
      <x:c r="AA21" s="20"/>
      <x:c r="AB21" s="12" t="str">
        <x:v>Pendente de precificação individual</x:v>
      </x:c>
      <x:c r="AC21" s="16" t="n">
        <x:v>8.2</x:v>
      </x:c>
      <x:c r="AD21" s="12" t="str">
        <x:v>A</x:v>
      </x:c>
      <x:c r="AE21" s="12" t="str">
        <x:v>A definir</x:v>
      </x:c>
      <x:c r="AF21" s="12" t="str">
        <x:v>Anel solitário / pingente delicado</x:v>
      </x:c>
      <x:c r="AG21" s="12" t="str">
        <x:v>Anel solitário / pingente delicado</x:v>
      </x:c>
      <x:c r="AH21" s="12" t="str">
        <x:v>Coleção</x:v>
      </x:c>
      <x:c r="AI21" s="12" t="str"/>
      <x:c r="AJ21" s="12" t="str"/>
      <x:c r="AK21" s="12" t="str"/>
      <x:c r="AL21" s="12" t="str"/>
      <x:c r="AM21" s="12" t="str">
        <x:v>Não informado</x:v>
      </x:c>
      <x:c r="AN21" s="12" t="str"/>
      <x:c r="AO21" s="12" t="str">
        <x:v>2026-07-01</x:v>
      </x:c>
      <x:c r="AP21" s="12" t="str">
        <x:v>2026-07-19</x:v>
      </x:c>
      <x:c r="AQ21" s="12" t="str">
        <x:v>Alta</x:v>
      </x:c>
      <x:c r="AR21" s="12" t="str">
        <x:v>Inventário mestre completo atualizado em 2026-07-01</x:v>
      </x:c>
      <x:c r="AS21" s="12" t="str">
        <x:v>Precificação individual pendente</x:v>
      </x:c>
      <x:c r="AT21" s="12" t="str">
        <x:v>Avaliação visual; tratamentos não avaliados; confirmar naturalidade/tratamento em laboratório.</x:v>
      </x:c>
    </x:row>
    <x:row r="22">
      <x:c r="A22" s="12" t="str">
        <x:v>DG-EM-021</x:v>
      </x:c>
      <x:c r="B22" s="12" t="str"/>
      <x:c r="C22" s="12" t="str">
        <x:v>Emerald Collection</x:v>
      </x:c>
      <x:c r="D22" s="12" t="str">
        <x:v>Esmeraldas</x:v>
      </x:c>
      <x:c r="E22" s="12" t="str">
        <x:v>Berilo</x:v>
      </x:c>
      <x:c r="F22" s="12" t="str">
        <x:v>Esmeralda</x:v>
      </x:c>
      <x:c r="G22" s="12" t="str">
        <x:v>Gema individual</x:v>
      </x:c>
      <x:c r="H22" s="18" t="n">
        <x:v>1</x:v>
      </x:c>
      <x:c r="I22" s="12" t="str">
        <x:v>Gota</x:v>
      </x:c>
      <x:c r="J22" s="12" t="str">
        <x:v>10 x 6 x 4</x:v>
      </x:c>
      <x:c r="K22" s="14" t="n">
        <x:v>1.765</x:v>
      </x:c>
      <x:c r="L22" s="12" t="str">
        <x:v>Sim</x:v>
      </x:c>
      <x:c r="M22" s="12" t="str">
        <x:v>Balança / informado</x:v>
      </x:c>
      <x:c r="N22" s="12" t="str">
        <x:v>Verde médio</x:v>
      </x:c>
      <x:c r="O22" s="12" t="str">
        <x:v>Semi-transparente a translúcida</x:v>
      </x:c>
      <x:c r="P22" s="12" t="str"/>
      <x:c r="Q22" s="12" t="str">
        <x:v>Não avaliado / não informado</x:v>
      </x:c>
      <x:c r="R22" s="12" t="str">
        <x:v>Não</x:v>
      </x:c>
      <x:c r="S22" s="12" t="str"/>
      <x:c r="T22" s="12" t="str"/>
      <x:c r="U22" s="20"/>
      <x:c r="V22" s="20"/>
      <x:c r="W22" s="20"/>
      <x:c r="X22" s="20"/>
      <x:c r="Y22" s="20"/>
      <x:c r="Z22" s="20"/>
      <x:c r="AA22" s="20"/>
      <x:c r="AB22" s="12" t="str">
        <x:v>Pendente de precificação individual</x:v>
      </x:c>
      <x:c r="AC22" s="16" t="n">
        <x:v>8.3</x:v>
      </x:c>
      <x:c r="AD22" s="12" t="str">
        <x:v>A</x:v>
      </x:c>
      <x:c r="AE22" s="12" t="str">
        <x:v>A definir</x:v>
      </x:c>
      <x:c r="AF22" s="12" t="str">
        <x:v>Pingente solitário / anel feminino</x:v>
      </x:c>
      <x:c r="AG22" s="12" t="str">
        <x:v>Pingente solitário / anel feminino</x:v>
      </x:c>
      <x:c r="AH22" s="12" t="str">
        <x:v>Coleção</x:v>
      </x:c>
      <x:c r="AI22" s="12" t="str"/>
      <x:c r="AJ22" s="12" t="str"/>
      <x:c r="AK22" s="12" t="str"/>
      <x:c r="AL22" s="12" t="str"/>
      <x:c r="AM22" s="12" t="str">
        <x:v>Não informado</x:v>
      </x:c>
      <x:c r="AN22" s="12" t="str"/>
      <x:c r="AO22" s="12" t="str">
        <x:v>2026-07-01</x:v>
      </x:c>
      <x:c r="AP22" s="12" t="str">
        <x:v>2026-07-19</x:v>
      </x:c>
      <x:c r="AQ22" s="12" t="str">
        <x:v>Alta</x:v>
      </x:c>
      <x:c r="AR22" s="12" t="str">
        <x:v>Inventário mestre completo atualizado em 2026-07-01</x:v>
      </x:c>
      <x:c r="AS22" s="12" t="str">
        <x:v>Precificação individual pendente</x:v>
      </x:c>
      <x:c r="AT22" s="12" t="str">
        <x:v>Avaliação visual; tratamentos não avaliados; confirmar naturalidade/tratamento em laboratório.</x:v>
      </x:c>
    </x:row>
    <x:row r="23">
      <x:c r="A23" s="12" t="str">
        <x:v>DG-EM-022</x:v>
      </x:c>
      <x:c r="B23" s="12" t="str"/>
      <x:c r="C23" s="12" t="str">
        <x:v>Emerald Collection</x:v>
      </x:c>
      <x:c r="D23" s="12" t="str">
        <x:v>Esmeraldas</x:v>
      </x:c>
      <x:c r="E23" s="12" t="str">
        <x:v>Berilo</x:v>
      </x:c>
      <x:c r="F23" s="12" t="str">
        <x:v>Esmeralda</x:v>
      </x:c>
      <x:c r="G23" s="12" t="str">
        <x:v>Gema individual</x:v>
      </x:c>
      <x:c r="H23" s="18" t="n">
        <x:v>1</x:v>
      </x:c>
      <x:c r="I23" s="12" t="str">
        <x:v>Gota</x:v>
      </x:c>
      <x:c r="J23" s="12" t="str">
        <x:v>9 x 6 x 4</x:v>
      </x:c>
      <x:c r="K23" s="14" t="n">
        <x:v>1.805</x:v>
      </x:c>
      <x:c r="L23" s="12" t="str">
        <x:v>Sim</x:v>
      </x:c>
      <x:c r="M23" s="12" t="str">
        <x:v>Balança / informado</x:v>
      </x:c>
      <x:c r="N23" s="12" t="str">
        <x:v>Verde médio a intenso</x:v>
      </x:c>
      <x:c r="O23" s="12" t="str">
        <x:v>Semi-transparente a translúcida</x:v>
      </x:c>
      <x:c r="P23" s="12" t="str"/>
      <x:c r="Q23" s="12" t="str">
        <x:v>Não avaliado / não informado</x:v>
      </x:c>
      <x:c r="R23" s="12" t="str">
        <x:v>Não</x:v>
      </x:c>
      <x:c r="S23" s="12" t="str"/>
      <x:c r="T23" s="12" t="str"/>
      <x:c r="U23" s="20"/>
      <x:c r="V23" s="20"/>
      <x:c r="W23" s="20"/>
      <x:c r="X23" s="20"/>
      <x:c r="Y23" s="20"/>
      <x:c r="Z23" s="20"/>
      <x:c r="AA23" s="20"/>
      <x:c r="AB23" s="12" t="str">
        <x:v>Pendente de precificação individual</x:v>
      </x:c>
      <x:c r="AC23" s="16" t="n">
        <x:v>8.6</x:v>
      </x:c>
      <x:c r="AD23" s="12" t="str">
        <x:v>A</x:v>
      </x:c>
      <x:c r="AE23" s="12" t="str">
        <x:v>A definir</x:v>
      </x:c>
      <x:c r="AF23" s="12" t="str">
        <x:v>Pingente solitário premium / anel</x:v>
      </x:c>
      <x:c r="AG23" s="12" t="str">
        <x:v>Pingente solitário premium / anel</x:v>
      </x:c>
      <x:c r="AH23" s="12" t="str">
        <x:v>Coleção</x:v>
      </x:c>
      <x:c r="AI23" s="12" t="str"/>
      <x:c r="AJ23" s="12" t="str"/>
      <x:c r="AK23" s="12" t="str"/>
      <x:c r="AL23" s="12" t="str"/>
      <x:c r="AM23" s="12" t="str">
        <x:v>Não informado</x:v>
      </x:c>
      <x:c r="AN23" s="12" t="str"/>
      <x:c r="AO23" s="12" t="str">
        <x:v>2026-07-01</x:v>
      </x:c>
      <x:c r="AP23" s="12" t="str">
        <x:v>2026-07-19</x:v>
      </x:c>
      <x:c r="AQ23" s="12" t="str">
        <x:v>Alta</x:v>
      </x:c>
      <x:c r="AR23" s="12" t="str">
        <x:v>Inventário mestre completo atualizado em 2026-07-01</x:v>
      </x:c>
      <x:c r="AS23" s="12" t="str">
        <x:v>Precificação individual pendente</x:v>
      </x:c>
      <x:c r="AT23" s="12" t="str">
        <x:v>Avaliação visual; tratamentos não avaliados; confirmar naturalidade/tratamento em laboratório.</x:v>
      </x:c>
    </x:row>
    <x:row r="24">
      <x:c r="A24" s="12" t="str">
        <x:v>DG-EM-023</x:v>
      </x:c>
      <x:c r="B24" s="12" t="str"/>
      <x:c r="C24" s="12" t="str">
        <x:v>Emerald Collection</x:v>
      </x:c>
      <x:c r="D24" s="12" t="str">
        <x:v>Esmeraldas</x:v>
      </x:c>
      <x:c r="E24" s="12" t="str">
        <x:v>Berilo</x:v>
      </x:c>
      <x:c r="F24" s="12" t="str">
        <x:v>Esmeralda</x:v>
      </x:c>
      <x:c r="G24" s="12" t="str">
        <x:v>Gema individual</x:v>
      </x:c>
      <x:c r="H24" s="18" t="n">
        <x:v>1</x:v>
      </x:c>
      <x:c r="I24" s="12" t="str">
        <x:v>Oval</x:v>
      </x:c>
      <x:c r="J24" s="12" t="str">
        <x:v>10 x 7 x 4</x:v>
      </x:c>
      <x:c r="K24" s="14" t="n">
        <x:v>2.27</x:v>
      </x:c>
      <x:c r="L24" s="12" t="str">
        <x:v>Sim</x:v>
      </x:c>
      <x:c r="M24" s="12" t="str">
        <x:v>Balança / informado</x:v>
      </x:c>
      <x:c r="N24" s="12" t="str">
        <x:v>Verde médio a intenso</x:v>
      </x:c>
      <x:c r="O24" s="12" t="str">
        <x:v>Semi-transparente a translúcida</x:v>
      </x:c>
      <x:c r="P24" s="12" t="str"/>
      <x:c r="Q24" s="12" t="str">
        <x:v>Não avaliado / não informado</x:v>
      </x:c>
      <x:c r="R24" s="12" t="str">
        <x:v>Não</x:v>
      </x:c>
      <x:c r="S24" s="12" t="str"/>
      <x:c r="T24" s="12" t="str"/>
      <x:c r="U24" s="20"/>
      <x:c r="V24" s="20"/>
      <x:c r="W24" s="20"/>
      <x:c r="X24" s="20"/>
      <x:c r="Y24" s="20"/>
      <x:c r="Z24" s="20"/>
      <x:c r="AA24" s="20"/>
      <x:c r="AB24" s="12" t="str">
        <x:v>Pendente de precificação individual</x:v>
      </x:c>
      <x:c r="AC24" s="16" t="n">
        <x:v>8.4</x:v>
      </x:c>
      <x:c r="AD24" s="12" t="str">
        <x:v>A</x:v>
      </x:c>
      <x:c r="AE24" s="12" t="str">
        <x:v>A definir</x:v>
      </x:c>
      <x:c r="AF24" s="12" t="str">
        <x:v>Anel solitário / pingente clássico</x:v>
      </x:c>
      <x:c r="AG24" s="12" t="str">
        <x:v>Anel solitário / pingente clássico</x:v>
      </x:c>
      <x:c r="AH24" s="12" t="str">
        <x:v>Coleção</x:v>
      </x:c>
      <x:c r="AI24" s="12" t="str"/>
      <x:c r="AJ24" s="12" t="str"/>
      <x:c r="AK24" s="12" t="str"/>
      <x:c r="AL24" s="12" t="str"/>
      <x:c r="AM24" s="12" t="str">
        <x:v>Não informado</x:v>
      </x:c>
      <x:c r="AN24" s="12" t="str"/>
      <x:c r="AO24" s="12" t="str">
        <x:v>2026-07-01</x:v>
      </x:c>
      <x:c r="AP24" s="12" t="str">
        <x:v>2026-07-19</x:v>
      </x:c>
      <x:c r="AQ24" s="12" t="str">
        <x:v>Alta</x:v>
      </x:c>
      <x:c r="AR24" s="12" t="str">
        <x:v>Inventário mestre completo atualizado em 2026-07-01</x:v>
      </x:c>
      <x:c r="AS24" s="12" t="str">
        <x:v>Precificação individual pendente</x:v>
      </x:c>
      <x:c r="AT24" s="12" t="str">
        <x:v>Avaliação visual; tratamentos não avaliados; confirmar naturalidade/tratamento em laboratório.</x:v>
      </x:c>
    </x:row>
    <x:row r="25">
      <x:c r="A25" s="12" t="str">
        <x:v>DG-EM-024</x:v>
      </x:c>
      <x:c r="B25" s="12" t="str"/>
      <x:c r="C25" s="12" t="str">
        <x:v>Emerald Collection</x:v>
      </x:c>
      <x:c r="D25" s="12" t="str">
        <x:v>Esmeraldas</x:v>
      </x:c>
      <x:c r="E25" s="12" t="str">
        <x:v>Berilo</x:v>
      </x:c>
      <x:c r="F25" s="12" t="str">
        <x:v>Esmeralda</x:v>
      </x:c>
      <x:c r="G25" s="12" t="str">
        <x:v>Gema individual</x:v>
      </x:c>
      <x:c r="H25" s="18" t="n">
        <x:v>1</x:v>
      </x:c>
      <x:c r="I25" s="12" t="str">
        <x:v>Octogonal / Emerald Cut</x:v>
      </x:c>
      <x:c r="J25" s="12" t="str">
        <x:v>8 x 8 x 4</x:v>
      </x:c>
      <x:c r="K25" s="14" t="n">
        <x:v>2.845</x:v>
      </x:c>
      <x:c r="L25" s="12" t="str">
        <x:v>Sim</x:v>
      </x:c>
      <x:c r="M25" s="12" t="str">
        <x:v>Balança / informado</x:v>
      </x:c>
      <x:c r="N25" s="12" t="str">
        <x:v>Verde médio levemente azulado</x:v>
      </x:c>
      <x:c r="O25" s="12" t="str">
        <x:v>Semi-transparente a translúcida</x:v>
      </x:c>
      <x:c r="P25" s="12" t="str"/>
      <x:c r="Q25" s="12" t="str">
        <x:v>Não avaliado / não informado</x:v>
      </x:c>
      <x:c r="R25" s="12" t="str">
        <x:v>Não</x:v>
      </x:c>
      <x:c r="S25" s="12" t="str"/>
      <x:c r="T25" s="12" t="str"/>
      <x:c r="U25" s="20"/>
      <x:c r="V25" s="20"/>
      <x:c r="W25" s="20"/>
      <x:c r="X25" s="20"/>
      <x:c r="Y25" s="20"/>
      <x:c r="Z25" s="20"/>
      <x:c r="AA25" s="20"/>
      <x:c r="AB25" s="12" t="str">
        <x:v>Pendente de precificação individual</x:v>
      </x:c>
      <x:c r="AC25" s="16" t="n">
        <x:v>8.1</x:v>
      </x:c>
      <x:c r="AD25" s="12" t="str">
        <x:v>A-</x:v>
      </x:c>
      <x:c r="AE25" s="12" t="str">
        <x:v>A definir</x:v>
      </x:c>
      <x:c r="AF25" s="12" t="str">
        <x:v>Anel masculino / pingente geométrico</x:v>
      </x:c>
      <x:c r="AG25" s="12" t="str">
        <x:v>Anel masculino / pingente geométrico</x:v>
      </x:c>
      <x:c r="AH25" s="12" t="str">
        <x:v>Coleção</x:v>
      </x:c>
      <x:c r="AI25" s="12" t="str"/>
      <x:c r="AJ25" s="12" t="str"/>
      <x:c r="AK25" s="12" t="str"/>
      <x:c r="AL25" s="12" t="str"/>
      <x:c r="AM25" s="12" t="str">
        <x:v>Não informado</x:v>
      </x:c>
      <x:c r="AN25" s="12" t="str"/>
      <x:c r="AO25" s="12" t="str">
        <x:v>2026-07-01</x:v>
      </x:c>
      <x:c r="AP25" s="12" t="str">
        <x:v>2026-07-19</x:v>
      </x:c>
      <x:c r="AQ25" s="12" t="str">
        <x:v>Alta</x:v>
      </x:c>
      <x:c r="AR25" s="12" t="str">
        <x:v>Inventário mestre completo atualizado em 2026-07-01</x:v>
      </x:c>
      <x:c r="AS25" s="12" t="str">
        <x:v>Precificação individual pendente</x:v>
      </x:c>
      <x:c r="AT25" s="12" t="str">
        <x:v>Avaliação visual; tratamentos não avaliados; confirmar naturalidade/tratamento em laboratório.</x:v>
      </x:c>
    </x:row>
    <x:row r="26">
      <x:c r="A26" s="12" t="str">
        <x:v>DG-EM-025</x:v>
      </x:c>
      <x:c r="B26" s="12" t="str"/>
      <x:c r="C26" s="12" t="str">
        <x:v>Emerald Collection</x:v>
      </x:c>
      <x:c r="D26" s="12" t="str">
        <x:v>Esmeraldas</x:v>
      </x:c>
      <x:c r="E26" s="12" t="str">
        <x:v>Berilo</x:v>
      </x:c>
      <x:c r="F26" s="12" t="str">
        <x:v>Esmeralda</x:v>
      </x:c>
      <x:c r="G26" s="12" t="str">
        <x:v>Gema individual</x:v>
      </x:c>
      <x:c r="H26" s="18" t="n">
        <x:v>1</x:v>
      </x:c>
      <x:c r="I26" s="12" t="str">
        <x:v>Oval</x:v>
      </x:c>
      <x:c r="J26" s="12" t="str">
        <x:v>11 x 7 x 4</x:v>
      </x:c>
      <x:c r="K26" s="14" t="n">
        <x:v>2.47</x:v>
      </x:c>
      <x:c r="L26" s="12" t="str">
        <x:v>Sim</x:v>
      </x:c>
      <x:c r="M26" s="12" t="str">
        <x:v>Balança / informado</x:v>
      </x:c>
      <x:c r="N26" s="12" t="str">
        <x:v>Verde médio azulado</x:v>
      </x:c>
      <x:c r="O26" s="12" t="str">
        <x:v>Semi-transparente a translúcida</x:v>
      </x:c>
      <x:c r="P26" s="12" t="str"/>
      <x:c r="Q26" s="12" t="str">
        <x:v>Não avaliado / não informado</x:v>
      </x:c>
      <x:c r="R26" s="12" t="str">
        <x:v>Não</x:v>
      </x:c>
      <x:c r="S26" s="12" t="str"/>
      <x:c r="T26" s="12" t="str"/>
      <x:c r="U26" s="20"/>
      <x:c r="V26" s="20"/>
      <x:c r="W26" s="20"/>
      <x:c r="X26" s="20"/>
      <x:c r="Y26" s="20"/>
      <x:c r="Z26" s="20"/>
      <x:c r="AA26" s="20"/>
      <x:c r="AB26" s="12" t="str">
        <x:v>Pendente de precificação individual</x:v>
      </x:c>
      <x:c r="AC26" s="16" t="n">
        <x:v>8.4</x:v>
      </x:c>
      <x:c r="AD26" s="12" t="str">
        <x:v>A</x:v>
      </x:c>
      <x:c r="AE26" s="12" t="str">
        <x:v>A definir</x:v>
      </x:c>
      <x:c r="AF26" s="12" t="str">
        <x:v>Anel solitário / pingente</x:v>
      </x:c>
      <x:c r="AG26" s="12" t="str">
        <x:v>Anel solitário / pingente</x:v>
      </x:c>
      <x:c r="AH26" s="12" t="str">
        <x:v>Coleção</x:v>
      </x:c>
      <x:c r="AI26" s="12" t="str"/>
      <x:c r="AJ26" s="12" t="str"/>
      <x:c r="AK26" s="12" t="str"/>
      <x:c r="AL26" s="12" t="str"/>
      <x:c r="AM26" s="12" t="str">
        <x:v>Não informado</x:v>
      </x:c>
      <x:c r="AN26" s="12" t="str"/>
      <x:c r="AO26" s="12" t="str">
        <x:v>2026-07-01</x:v>
      </x:c>
      <x:c r="AP26" s="12" t="str">
        <x:v>2026-07-19</x:v>
      </x:c>
      <x:c r="AQ26" s="12" t="str">
        <x:v>Alta</x:v>
      </x:c>
      <x:c r="AR26" s="12" t="str">
        <x:v>Inventário mestre completo atualizado em 2026-07-01</x:v>
      </x:c>
      <x:c r="AS26" s="12" t="str">
        <x:v>Precificação individual pendente</x:v>
      </x:c>
      <x:c r="AT26" s="12" t="str">
        <x:v>Avaliação visual; tratamentos não avaliados; confirmar naturalidade/tratamento em laboratório.</x:v>
      </x:c>
    </x:row>
    <x:row r="27">
      <x:c r="A27" s="12" t="str">
        <x:v>DG-EM-026</x:v>
      </x:c>
      <x:c r="B27" s="12" t="str"/>
      <x:c r="C27" s="12" t="str">
        <x:v>Emerald Collection</x:v>
      </x:c>
      <x:c r="D27" s="12" t="str">
        <x:v>Esmeraldas</x:v>
      </x:c>
      <x:c r="E27" s="12" t="str">
        <x:v>Berilo</x:v>
      </x:c>
      <x:c r="F27" s="12" t="str">
        <x:v>Esmeralda</x:v>
      </x:c>
      <x:c r="G27" s="12" t="str">
        <x:v>Gema individual</x:v>
      </x:c>
      <x:c r="H27" s="18" t="n">
        <x:v>1</x:v>
      </x:c>
      <x:c r="I27" s="12" t="str">
        <x:v>Gota / Pear</x:v>
      </x:c>
      <x:c r="J27" s="12" t="str">
        <x:v>15 x 9 x 5</x:v>
      </x:c>
      <x:c r="K27" s="14" t="n">
        <x:v>4.335</x:v>
      </x:c>
      <x:c r="L27" s="12" t="str">
        <x:v>Sim</x:v>
      </x:c>
      <x:c r="M27" s="12" t="str">
        <x:v>Balança / informado</x:v>
      </x:c>
      <x:c r="N27" s="12" t="str">
        <x:v>Verde médio a médio-escuro</x:v>
      </x:c>
      <x:c r="O27" s="12" t="str">
        <x:v>Semi-transparente a translúcida</x:v>
      </x:c>
      <x:c r="P27" s="12" t="str"/>
      <x:c r="Q27" s="12" t="str">
        <x:v>Não avaliado / não informado</x:v>
      </x:c>
      <x:c r="R27" s="12" t="str">
        <x:v>Não</x:v>
      </x:c>
      <x:c r="S27" s="12" t="str"/>
      <x:c r="T27" s="12" t="str"/>
      <x:c r="U27" s="20"/>
      <x:c r="V27" s="20"/>
      <x:c r="W27" s="20"/>
      <x:c r="X27" s="20"/>
      <x:c r="Y27" s="20"/>
      <x:c r="Z27" s="20"/>
      <x:c r="AA27" s="20"/>
      <x:c r="AB27" s="12" t="str">
        <x:v>Pendente de precificação individual</x:v>
      </x:c>
      <x:c r="AC27" s="16" t="n">
        <x:v>8.3</x:v>
      </x:c>
      <x:c r="AD27" s="12" t="str">
        <x:v>A</x:v>
      </x:c>
      <x:c r="AE27" s="12" t="str">
        <x:v>A definir</x:v>
      </x:c>
      <x:c r="AF27" s="12" t="str">
        <x:v>Pingente / anel de destaque</x:v>
      </x:c>
      <x:c r="AG27" s="12" t="str">
        <x:v>Pingente / anel de destaque</x:v>
      </x:c>
      <x:c r="AH27" s="12" t="str">
        <x:v>Coleção</x:v>
      </x:c>
      <x:c r="AI27" s="12" t="str"/>
      <x:c r="AJ27" s="12" t="str"/>
      <x:c r="AK27" s="12" t="str"/>
      <x:c r="AL27" s="12" t="str"/>
      <x:c r="AM27" s="12" t="str">
        <x:v>Não informado</x:v>
      </x:c>
      <x:c r="AN27" s="12" t="str"/>
      <x:c r="AO27" s="12" t="str">
        <x:v>2026-07-01</x:v>
      </x:c>
      <x:c r="AP27" s="12" t="str">
        <x:v>2026-07-19</x:v>
      </x:c>
      <x:c r="AQ27" s="12" t="str">
        <x:v>Alta</x:v>
      </x:c>
      <x:c r="AR27" s="12" t="str">
        <x:v>Inventário mestre completo atualizado em 2026-07-01</x:v>
      </x:c>
      <x:c r="AS27" s="12" t="str">
        <x:v>Precificação individual pendente</x:v>
      </x:c>
      <x:c r="AT27" s="12" t="str">
        <x:v>Avaliação visual; tratamentos não avaliados; confirmar naturalidade/tratamento em laboratório.</x:v>
      </x:c>
    </x:row>
    <x:row r="28">
      <x:c r="A28" s="12" t="str">
        <x:v>DG-EM-027</x:v>
      </x:c>
      <x:c r="B28" s="12" t="str"/>
      <x:c r="C28" s="12" t="str">
        <x:v>Emerald Collection</x:v>
      </x:c>
      <x:c r="D28" s="12" t="str">
        <x:v>Esmeraldas</x:v>
      </x:c>
      <x:c r="E28" s="12" t="str">
        <x:v>Berilo</x:v>
      </x:c>
      <x:c r="F28" s="12" t="str">
        <x:v>Esmeralda</x:v>
      </x:c>
      <x:c r="G28" s="12" t="str">
        <x:v>Gema individual</x:v>
      </x:c>
      <x:c r="H28" s="18" t="n">
        <x:v>1</x:v>
      </x:c>
      <x:c r="I28" s="12" t="str">
        <x:v>Octogonal / Emerald Cut</x:v>
      </x:c>
      <x:c r="J28" s="12" t="str">
        <x:v>10 x 10 x 5</x:v>
      </x:c>
      <x:c r="K28" s="14" t="n">
        <x:v>4.91</x:v>
      </x:c>
      <x:c r="L28" s="12" t="str">
        <x:v>Sim</x:v>
      </x:c>
      <x:c r="M28" s="12" t="str">
        <x:v>Balança / informado</x:v>
      </x:c>
      <x:c r="N28" s="12" t="str">
        <x:v>Verde intenso</x:v>
      </x:c>
      <x:c r="O28" s="12" t="str">
        <x:v>Semi-transparente a translúcida</x:v>
      </x:c>
      <x:c r="P28" s="12" t="str"/>
      <x:c r="Q28" s="12" t="str">
        <x:v>Não avaliado / não informado</x:v>
      </x:c>
      <x:c r="R28" s="12" t="str">
        <x:v>Não</x:v>
      </x:c>
      <x:c r="S28" s="12" t="str"/>
      <x:c r="T28" s="12" t="str"/>
      <x:c r="U28" s="20"/>
      <x:c r="V28" s="20"/>
      <x:c r="W28" s="20"/>
      <x:c r="X28" s="20"/>
      <x:c r="Y28" s="20"/>
      <x:c r="Z28" s="20"/>
      <x:c r="AA28" s="20"/>
      <x:c r="AB28" s="12" t="str">
        <x:v>Pendente de precificação individual</x:v>
      </x:c>
      <x:c r="AC28" s="16" t="n">
        <x:v>8.8</x:v>
      </x:c>
      <x:c r="AD28" s="12" t="str">
        <x:v>A+</x:v>
      </x:c>
      <x:c r="AE28" s="12" t="str">
        <x:v>A definir</x:v>
      </x:c>
      <x:c r="AF28" s="12" t="str">
        <x:v>Anel solitário / anel masculino / pingente</x:v>
      </x:c>
      <x:c r="AG28" s="12" t="str">
        <x:v>Anel solitário / anel masculino / pingente</x:v>
      </x:c>
      <x:c r="AH28" s="12" t="str">
        <x:v>Coleção</x:v>
      </x:c>
      <x:c r="AI28" s="12" t="str"/>
      <x:c r="AJ28" s="12" t="str"/>
      <x:c r="AK28" s="12" t="str"/>
      <x:c r="AL28" s="12" t="str"/>
      <x:c r="AM28" s="12" t="str">
        <x:v>Não informado</x:v>
      </x:c>
      <x:c r="AN28" s="12" t="str"/>
      <x:c r="AO28" s="12" t="str">
        <x:v>2026-07-01</x:v>
      </x:c>
      <x:c r="AP28" s="12" t="str">
        <x:v>2026-07-19</x:v>
      </x:c>
      <x:c r="AQ28" s="12" t="str">
        <x:v>Alta</x:v>
      </x:c>
      <x:c r="AR28" s="12" t="str">
        <x:v>Inventário mestre completo atualizado em 2026-07-01</x:v>
      </x:c>
      <x:c r="AS28" s="12" t="str">
        <x:v>Precificação individual pendente</x:v>
      </x:c>
      <x:c r="AT28" s="12" t="str">
        <x:v>Avaliação visual; tratamentos não avaliados; confirmar naturalidade/tratamento em laboratório.</x:v>
      </x:c>
    </x:row>
    <x:row r="29">
      <x:c r="A29" s="12" t="str">
        <x:v>DG-EM-028</x:v>
      </x:c>
      <x:c r="B29" s="12" t="str"/>
      <x:c r="C29" s="12" t="str">
        <x:v>Emerald Collection</x:v>
      </x:c>
      <x:c r="D29" s="12" t="str">
        <x:v>Esmeraldas</x:v>
      </x:c>
      <x:c r="E29" s="12" t="str">
        <x:v>Berilo</x:v>
      </x:c>
      <x:c r="F29" s="12" t="str">
        <x:v>Esmeralda</x:v>
      </x:c>
      <x:c r="G29" s="12" t="str">
        <x:v>Gema individual</x:v>
      </x:c>
      <x:c r="H29" s="18" t="n">
        <x:v>1</x:v>
      </x:c>
      <x:c r="I29" s="12" t="str">
        <x:v>Emerald Cut retangular</x:v>
      </x:c>
      <x:c r="J29" s="12" t="str">
        <x:v>15 x 11 x 7</x:v>
      </x:c>
      <x:c r="K29" s="14" t="n">
        <x:v>12.285</x:v>
      </x:c>
      <x:c r="L29" s="12" t="str">
        <x:v>Sim</x:v>
      </x:c>
      <x:c r="M29" s="12" t="str">
        <x:v>Balança / informado</x:v>
      </x:c>
      <x:c r="N29" s="12" t="str">
        <x:v>Verde médio a intenso</x:v>
      </x:c>
      <x:c r="O29" s="12" t="str">
        <x:v>Semi-transparente a translúcida</x:v>
      </x:c>
      <x:c r="P29" s="12" t="str"/>
      <x:c r="Q29" s="12" t="str">
        <x:v>Não avaliado / não informado</x:v>
      </x:c>
      <x:c r="R29" s="12" t="str">
        <x:v>Não</x:v>
      </x:c>
      <x:c r="S29" s="12" t="str"/>
      <x:c r="T29" s="12" t="str"/>
      <x:c r="U29" s="20"/>
      <x:c r="V29" s="20"/>
      <x:c r="W29" s="20"/>
      <x:c r="X29" s="20"/>
      <x:c r="Y29" s="20"/>
      <x:c r="Z29" s="20"/>
      <x:c r="AA29" s="20"/>
      <x:c r="AB29" s="12" t="str">
        <x:v>Pendente de precificação individual</x:v>
      </x:c>
      <x:c r="AC29" s="16" t="n">
        <x:v>9</x:v>
      </x:c>
      <x:c r="AD29" s="12" t="str">
        <x:v>A+ Premium</x:v>
      </x:c>
      <x:c r="AE29" s="12" t="str">
        <x:v>A definir</x:v>
      </x:c>
      <x:c r="AF29" s="12" t="str">
        <x:v>Anel masculino premium / pingente alto padrão</x:v>
      </x:c>
      <x:c r="AG29" s="12" t="str">
        <x:v>Anel masculino premium / pingente alto padrão</x:v>
      </x:c>
      <x:c r="AH29" s="12" t="str">
        <x:v>Coleção</x:v>
      </x:c>
      <x:c r="AI29" s="12" t="str"/>
      <x:c r="AJ29" s="12" t="str"/>
      <x:c r="AK29" s="12" t="str"/>
      <x:c r="AL29" s="12" t="str"/>
      <x:c r="AM29" s="12" t="str">
        <x:v>Não informado</x:v>
      </x:c>
      <x:c r="AN29" s="12" t="str"/>
      <x:c r="AO29" s="12" t="str">
        <x:v>2026-07-01</x:v>
      </x:c>
      <x:c r="AP29" s="12" t="str">
        <x:v>2026-07-19</x:v>
      </x:c>
      <x:c r="AQ29" s="12" t="str">
        <x:v>Alta</x:v>
      </x:c>
      <x:c r="AR29" s="12" t="str">
        <x:v>Inventário mestre completo atualizado em 2026-07-01</x:v>
      </x:c>
      <x:c r="AS29" s="12" t="str">
        <x:v>Precificação individual pendente</x:v>
      </x:c>
      <x:c r="AT29" s="12" t="str">
        <x:v>Avaliação visual; tratamentos não avaliados; confirmar naturalidade/tratamento em laboratório.</x:v>
      </x:c>
    </x:row>
    <x:row r="30">
      <x:c r="A30" s="12" t="str">
        <x:v>DG-EM-029</x:v>
      </x:c>
      <x:c r="B30" s="12" t="str"/>
      <x:c r="C30" s="12" t="str">
        <x:v>Emerald Collection</x:v>
      </x:c>
      <x:c r="D30" s="12" t="str">
        <x:v>Esmeraldas</x:v>
      </x:c>
      <x:c r="E30" s="12" t="str">
        <x:v>Berilo</x:v>
      </x:c>
      <x:c r="F30" s="12" t="str">
        <x:v>Esmeralda</x:v>
      </x:c>
      <x:c r="G30" s="12" t="str">
        <x:v>Gema individual</x:v>
      </x:c>
      <x:c r="H30" s="18" t="n">
        <x:v>1</x:v>
      </x:c>
      <x:c r="I30" s="12" t="str">
        <x:v>Emerald Cut</x:v>
      </x:c>
      <x:c r="J30" s="12" t="str">
        <x:v>10 x 9 x 3</x:v>
      </x:c>
      <x:c r="K30" s="14" t="n">
        <x:v>2.79</x:v>
      </x:c>
      <x:c r="L30" s="12" t="str">
        <x:v>Sim</x:v>
      </x:c>
      <x:c r="M30" s="12" t="str">
        <x:v>Balança / informado</x:v>
      </x:c>
      <x:c r="N30" s="12" t="str">
        <x:v>Verde médio</x:v>
      </x:c>
      <x:c r="O30" s="12" t="str">
        <x:v>Semi-transparente a translúcida</x:v>
      </x:c>
      <x:c r="P30" s="12" t="str"/>
      <x:c r="Q30" s="12" t="str">
        <x:v>Não avaliado / não informado</x:v>
      </x:c>
      <x:c r="R30" s="12" t="str">
        <x:v>Não</x:v>
      </x:c>
      <x:c r="S30" s="12" t="str"/>
      <x:c r="T30" s="12" t="str"/>
      <x:c r="U30" s="20"/>
      <x:c r="V30" s="20"/>
      <x:c r="W30" s="20"/>
      <x:c r="X30" s="20"/>
      <x:c r="Y30" s="20"/>
      <x:c r="Z30" s="20"/>
      <x:c r="AA30" s="20"/>
      <x:c r="AB30" s="12" t="str">
        <x:v>Pendente de precificação individual</x:v>
      </x:c>
      <x:c r="AC30" s="16" t="n">
        <x:v>8.7</x:v>
      </x:c>
      <x:c r="AD30" s="12" t="str">
        <x:v>A</x:v>
      </x:c>
      <x:c r="AE30" s="12" t="str">
        <x:v>A definir</x:v>
      </x:c>
      <x:c r="AF30" s="12" t="str">
        <x:v>Anel, pingente ou par de brincos</x:v>
      </x:c>
      <x:c r="AG30" s="12" t="str">
        <x:v>Anel, pingente ou par de brincos</x:v>
      </x:c>
      <x:c r="AH30" s="12" t="str">
        <x:v>Coleção</x:v>
      </x:c>
      <x:c r="AI30" s="12" t="str"/>
      <x:c r="AJ30" s="12" t="str"/>
      <x:c r="AK30" s="12" t="str"/>
      <x:c r="AL30" s="12" t="str"/>
      <x:c r="AM30" s="12" t="str">
        <x:v>Não informado</x:v>
      </x:c>
      <x:c r="AN30" s="12" t="str"/>
      <x:c r="AO30" s="12" t="str">
        <x:v>2026-07-01</x:v>
      </x:c>
      <x:c r="AP30" s="12" t="str">
        <x:v>2026-07-19</x:v>
      </x:c>
      <x:c r="AQ30" s="12" t="str">
        <x:v>Alta</x:v>
      </x:c>
      <x:c r="AR30" s="12" t="str">
        <x:v>Inventário mestre completo atualizado em 2026-07-01</x:v>
      </x:c>
      <x:c r="AS30" s="12" t="str">
        <x:v>Precificação individual pendente</x:v>
      </x:c>
      <x:c r="AT30" s="12" t="str">
        <x:v>Avaliação visual; tratamentos não avaliados; confirmar naturalidade/tratamento em laboratório.</x:v>
      </x:c>
    </x:row>
    <x:row r="31">
      <x:c r="A31" s="12" t="str">
        <x:v>DG-EM-030</x:v>
      </x:c>
      <x:c r="B31" s="12" t="str"/>
      <x:c r="C31" s="12" t="str">
        <x:v>Emerald Collection</x:v>
      </x:c>
      <x:c r="D31" s="12" t="str">
        <x:v>Esmeraldas</x:v>
      </x:c>
      <x:c r="E31" s="12" t="str">
        <x:v>Berilo</x:v>
      </x:c>
      <x:c r="F31" s="12" t="str">
        <x:v>Esmeralda</x:v>
      </x:c>
      <x:c r="G31" s="12" t="str">
        <x:v>Gema individual</x:v>
      </x:c>
      <x:c r="H31" s="18" t="n">
        <x:v>1</x:v>
      </x:c>
      <x:c r="I31" s="12" t="str">
        <x:v>Emerald Cut</x:v>
      </x:c>
      <x:c r="J31" s="12" t="str">
        <x:v>11 x 9 x 6</x:v>
      </x:c>
      <x:c r="K31" s="14" t="n">
        <x:v>5.19</x:v>
      </x:c>
      <x:c r="L31" s="12" t="str">
        <x:v>Sim</x:v>
      </x:c>
      <x:c r="M31" s="12" t="str">
        <x:v>Balança / informado</x:v>
      </x:c>
      <x:c r="N31" s="12" t="str">
        <x:v>Verde médio a intenso</x:v>
      </x:c>
      <x:c r="O31" s="12" t="str">
        <x:v>Semi-transparente a translúcida</x:v>
      </x:c>
      <x:c r="P31" s="12" t="str"/>
      <x:c r="Q31" s="12" t="str">
        <x:v>Não avaliado / não informado</x:v>
      </x:c>
      <x:c r="R31" s="12" t="str">
        <x:v>Não</x:v>
      </x:c>
      <x:c r="S31" s="12" t="str"/>
      <x:c r="T31" s="12" t="str"/>
      <x:c r="U31" s="20"/>
      <x:c r="V31" s="20"/>
      <x:c r="W31" s="20"/>
      <x:c r="X31" s="20"/>
      <x:c r="Y31" s="20"/>
      <x:c r="Z31" s="20"/>
      <x:c r="AA31" s="20"/>
      <x:c r="AB31" s="12" t="str">
        <x:v>Pendente de precificação individual</x:v>
      </x:c>
      <x:c r="AC31" s="16" t="n">
        <x:v>9</x:v>
      </x:c>
      <x:c r="AD31" s="12" t="str">
        <x:v>A+</x:v>
      </x:c>
      <x:c r="AE31" s="12" t="str">
        <x:v>A definir</x:v>
      </x:c>
      <x:c r="AF31" s="12" t="str">
        <x:v>Anel de destaque / pingente alto padrão</x:v>
      </x:c>
      <x:c r="AG31" s="12" t="str">
        <x:v>Anel de destaque / pingente alto padrão</x:v>
      </x:c>
      <x:c r="AH31" s="12" t="str">
        <x:v>Coleção</x:v>
      </x:c>
      <x:c r="AI31" s="12" t="str"/>
      <x:c r="AJ31" s="12" t="str"/>
      <x:c r="AK31" s="12" t="str"/>
      <x:c r="AL31" s="12" t="str"/>
      <x:c r="AM31" s="12" t="str">
        <x:v>Não informado</x:v>
      </x:c>
      <x:c r="AN31" s="12" t="str"/>
      <x:c r="AO31" s="12" t="str">
        <x:v>2026-07-01</x:v>
      </x:c>
      <x:c r="AP31" s="12" t="str">
        <x:v>2026-07-19</x:v>
      </x:c>
      <x:c r="AQ31" s="12" t="str">
        <x:v>Alta</x:v>
      </x:c>
      <x:c r="AR31" s="12" t="str">
        <x:v>Inventário mestre completo atualizado em 2026-07-01</x:v>
      </x:c>
      <x:c r="AS31" s="12" t="str">
        <x:v>Precificação individual pendente</x:v>
      </x:c>
      <x:c r="AT31" s="12" t="str">
        <x:v>Avaliação visual; tratamentos não avaliados; confirmar naturalidade/tratamento em laboratório.</x:v>
      </x:c>
    </x:row>
    <x:row r="32">
      <x:c r="A32" s="12" t="str">
        <x:v>DG-EM-031</x:v>
      </x:c>
      <x:c r="B32" s="12" t="str"/>
      <x:c r="C32" s="12" t="str">
        <x:v>Emerald Collection</x:v>
      </x:c>
      <x:c r="D32" s="12" t="str">
        <x:v>Esmeraldas</x:v>
      </x:c>
      <x:c r="E32" s="12" t="str">
        <x:v>Berilo</x:v>
      </x:c>
      <x:c r="F32" s="12" t="str">
        <x:v>Esmeralda</x:v>
      </x:c>
      <x:c r="G32" s="12" t="str">
        <x:v>Gema individual</x:v>
      </x:c>
      <x:c r="H32" s="18" t="n">
        <x:v>1</x:v>
      </x:c>
      <x:c r="I32" s="12" t="str">
        <x:v>Navete / Marquise</x:v>
      </x:c>
      <x:c r="J32" s="12" t="str">
        <x:v>19 x 8 x 5</x:v>
      </x:c>
      <x:c r="K32" s="14" t="n">
        <x:v>6.18</x:v>
      </x:c>
      <x:c r="L32" s="12" t="str">
        <x:v>Sim</x:v>
      </x:c>
      <x:c r="M32" s="12" t="str">
        <x:v>Balança / informado</x:v>
      </x:c>
      <x:c r="N32" s="12" t="str">
        <x:v>Verde médio levemente azulado</x:v>
      </x:c>
      <x:c r="O32" s="12" t="str">
        <x:v>Semi-transparente a translúcida</x:v>
      </x:c>
      <x:c r="P32" s="12" t="str"/>
      <x:c r="Q32" s="12" t="str">
        <x:v>Não avaliado / não informado</x:v>
      </x:c>
      <x:c r="R32" s="12" t="str">
        <x:v>Não</x:v>
      </x:c>
      <x:c r="S32" s="12" t="str"/>
      <x:c r="T32" s="12" t="str"/>
      <x:c r="U32" s="20"/>
      <x:c r="V32" s="20"/>
      <x:c r="W32" s="20"/>
      <x:c r="X32" s="20"/>
      <x:c r="Y32" s="20"/>
      <x:c r="Z32" s="20"/>
      <x:c r="AA32" s="20"/>
      <x:c r="AB32" s="12" t="str">
        <x:v>Pendente de precificação individual</x:v>
      </x:c>
      <x:c r="AC32" s="16" t="n">
        <x:v>9.1</x:v>
      </x:c>
      <x:c r="AD32" s="12" t="str">
        <x:v>A+</x:v>
      </x:c>
      <x:c r="AE32" s="12" t="str">
        <x:v>A definir</x:v>
      </x:c>
      <x:c r="AF32" s="12" t="str">
        <x:v>Anel de luxo / pingente / broche</x:v>
      </x:c>
      <x:c r="AG32" s="12" t="str">
        <x:v>Anel de luxo / pingente / broche</x:v>
      </x:c>
      <x:c r="AH32" s="12" t="str">
        <x:v>Coleção</x:v>
      </x:c>
      <x:c r="AI32" s="12" t="str"/>
      <x:c r="AJ32" s="12" t="str"/>
      <x:c r="AK32" s="12" t="str"/>
      <x:c r="AL32" s="12" t="str"/>
      <x:c r="AM32" s="12" t="str">
        <x:v>Não informado</x:v>
      </x:c>
      <x:c r="AN32" s="12" t="str"/>
      <x:c r="AO32" s="12" t="str">
        <x:v>2026-07-01</x:v>
      </x:c>
      <x:c r="AP32" s="12" t="str">
        <x:v>2026-07-19</x:v>
      </x:c>
      <x:c r="AQ32" s="12" t="str">
        <x:v>Alta</x:v>
      </x:c>
      <x:c r="AR32" s="12" t="str">
        <x:v>Inventário mestre completo atualizado em 2026-07-01</x:v>
      </x:c>
      <x:c r="AS32" s="12" t="str">
        <x:v>Precificação individual pendente</x:v>
      </x:c>
      <x:c r="AT32" s="12" t="str">
        <x:v>Avaliação visual; tratamentos não avaliados; confirmar naturalidade/tratamento em laboratório.</x:v>
      </x:c>
    </x:row>
    <x:row r="33">
      <x:c r="A33" s="12" t="str">
        <x:v>DG-EM-032</x:v>
      </x:c>
      <x:c r="B33" s="12" t="str"/>
      <x:c r="C33" s="12" t="str">
        <x:v>Emerald Collection</x:v>
      </x:c>
      <x:c r="D33" s="12" t="str">
        <x:v>Esmeraldas</x:v>
      </x:c>
      <x:c r="E33" s="12" t="str">
        <x:v>Berilo</x:v>
      </x:c>
      <x:c r="F33" s="12" t="str">
        <x:v>Esmeralda</x:v>
      </x:c>
      <x:c r="G33" s="12" t="str">
        <x:v>Gema individual</x:v>
      </x:c>
      <x:c r="H33" s="18" t="n">
        <x:v>1</x:v>
      </x:c>
      <x:c r="I33" s="12" t="str">
        <x:v>Oval mista</x:v>
      </x:c>
      <x:c r="J33" s="12" t="str">
        <x:v>11 x 7 x 4</x:v>
      </x:c>
      <x:c r="K33" s="14" t="n">
        <x:v>2</x:v>
      </x:c>
      <x:c r="L33" s="12" t="str">
        <x:v>Sim</x:v>
      </x:c>
      <x:c r="M33" s="12" t="str">
        <x:v>Balança / informado</x:v>
      </x:c>
      <x:c r="N33" s="12" t="str">
        <x:v>Verde médio azulado</x:v>
      </x:c>
      <x:c r="O33" s="12" t="str">
        <x:v>Semi-transparente a translúcida</x:v>
      </x:c>
      <x:c r="P33" s="12" t="str"/>
      <x:c r="Q33" s="12" t="str">
        <x:v>Não avaliado / não informado</x:v>
      </x:c>
      <x:c r="R33" s="12" t="str">
        <x:v>Não</x:v>
      </x:c>
      <x:c r="S33" s="12" t="str"/>
      <x:c r="T33" s="12" t="str"/>
      <x:c r="U33" s="20"/>
      <x:c r="V33" s="20"/>
      <x:c r="W33" s="20"/>
      <x:c r="X33" s="20"/>
      <x:c r="Y33" s="20"/>
      <x:c r="Z33" s="20"/>
      <x:c r="AA33" s="20"/>
      <x:c r="AB33" s="12" t="str">
        <x:v>Pendente de precificação individual</x:v>
      </x:c>
      <x:c r="AC33" s="16" t="n">
        <x:v>8.6</x:v>
      </x:c>
      <x:c r="AD33" s="12" t="str">
        <x:v>A</x:v>
      </x:c>
      <x:c r="AE33" s="12" t="str">
        <x:v>A definir</x:v>
      </x:c>
      <x:c r="AF33" s="12" t="str">
        <x:v>Anel elegante / pingente / brincos</x:v>
      </x:c>
      <x:c r="AG33" s="12" t="str">
        <x:v>Anel elegante / pingente / brincos</x:v>
      </x:c>
      <x:c r="AH33" s="12" t="str">
        <x:v>Coleção</x:v>
      </x:c>
      <x:c r="AI33" s="12" t="str"/>
      <x:c r="AJ33" s="12" t="str"/>
      <x:c r="AK33" s="12" t="str"/>
      <x:c r="AL33" s="12" t="str"/>
      <x:c r="AM33" s="12" t="str">
        <x:v>Não informado</x:v>
      </x:c>
      <x:c r="AN33" s="12" t="str"/>
      <x:c r="AO33" s="12" t="str">
        <x:v>2026-07-01</x:v>
      </x:c>
      <x:c r="AP33" s="12" t="str">
        <x:v>2026-07-19</x:v>
      </x:c>
      <x:c r="AQ33" s="12" t="str">
        <x:v>Alta</x:v>
      </x:c>
      <x:c r="AR33" s="12" t="str">
        <x:v>Inventário mestre completo atualizado em 2026-07-01</x:v>
      </x:c>
      <x:c r="AS33" s="12" t="str">
        <x:v>Precificação individual pendente</x:v>
      </x:c>
      <x:c r="AT33" s="12" t="str">
        <x:v>Avaliação visual; tratamentos não avaliados; confirmar naturalidade/tratamento em laboratório.</x:v>
      </x:c>
    </x:row>
    <x:row r="34">
      <x:c r="A34" s="12" t="str">
        <x:v>DG-EM-033</x:v>
      </x:c>
      <x:c r="B34" s="12" t="str"/>
      <x:c r="C34" s="12" t="str">
        <x:v>Emerald Collection</x:v>
      </x:c>
      <x:c r="D34" s="12" t="str">
        <x:v>Esmeraldas</x:v>
      </x:c>
      <x:c r="E34" s="12" t="str">
        <x:v>Berilo</x:v>
      </x:c>
      <x:c r="F34" s="12" t="str">
        <x:v>Esmeralda</x:v>
      </x:c>
      <x:c r="G34" s="12" t="str">
        <x:v>Gema individual</x:v>
      </x:c>
      <x:c r="H34" s="18" t="n">
        <x:v>1</x:v>
      </x:c>
      <x:c r="I34" s="12" t="str">
        <x:v>Oval mista</x:v>
      </x:c>
      <x:c r="J34" s="12" t="str">
        <x:v>10 x 6 x 5</x:v>
      </x:c>
      <x:c r="K34" s="14" t="n">
        <x:v>2.125</x:v>
      </x:c>
      <x:c r="L34" s="12" t="str">
        <x:v>Sim</x:v>
      </x:c>
      <x:c r="M34" s="12" t="str">
        <x:v>Balança / informado</x:v>
      </x:c>
      <x:c r="N34" s="12" t="str">
        <x:v>Verde médio vivo</x:v>
      </x:c>
      <x:c r="O34" s="12" t="str">
        <x:v>Semi-transparente a translúcida</x:v>
      </x:c>
      <x:c r="P34" s="12" t="str"/>
      <x:c r="Q34" s="12" t="str">
        <x:v>Não avaliado / não informado</x:v>
      </x:c>
      <x:c r="R34" s="12" t="str">
        <x:v>Não</x:v>
      </x:c>
      <x:c r="S34" s="12" t="str"/>
      <x:c r="T34" s="12" t="str"/>
      <x:c r="U34" s="20"/>
      <x:c r="V34" s="20"/>
      <x:c r="W34" s="20"/>
      <x:c r="X34" s="20"/>
      <x:c r="Y34" s="20"/>
      <x:c r="Z34" s="20"/>
      <x:c r="AA34" s="20"/>
      <x:c r="AB34" s="12" t="str">
        <x:v>Pendente de precificação individual</x:v>
      </x:c>
      <x:c r="AC34" s="16" t="n">
        <x:v>8.8</x:v>
      </x:c>
      <x:c r="AD34" s="12" t="str">
        <x:v>A</x:v>
      </x:c>
      <x:c r="AE34" s="12" t="str">
        <x:v>A definir</x:v>
      </x:c>
      <x:c r="AF34" s="12" t="str">
        <x:v>Par de brincos / anel / pingente</x:v>
      </x:c>
      <x:c r="AG34" s="12" t="str">
        <x:v>Par de brincos / anel / pingente</x:v>
      </x:c>
      <x:c r="AH34" s="12" t="str">
        <x:v>Coleção</x:v>
      </x:c>
      <x:c r="AI34" s="12" t="str"/>
      <x:c r="AJ34" s="12" t="str"/>
      <x:c r="AK34" s="12" t="str"/>
      <x:c r="AL34" s="12" t="str"/>
      <x:c r="AM34" s="12" t="str">
        <x:v>Não informado</x:v>
      </x:c>
      <x:c r="AN34" s="12" t="str"/>
      <x:c r="AO34" s="12" t="str">
        <x:v>2026-07-01</x:v>
      </x:c>
      <x:c r="AP34" s="12" t="str">
        <x:v>2026-07-19</x:v>
      </x:c>
      <x:c r="AQ34" s="12" t="str">
        <x:v>Alta</x:v>
      </x:c>
      <x:c r="AR34" s="12" t="str">
        <x:v>Inventário mestre completo atualizado em 2026-07-01</x:v>
      </x:c>
      <x:c r="AS34" s="12" t="str">
        <x:v>Precificação individual pendente</x:v>
      </x:c>
      <x:c r="AT34" s="12" t="str">
        <x:v>Avaliação visual; tratamentos não avaliados; confirmar naturalidade/tratamento em laboratório.</x:v>
      </x:c>
    </x:row>
    <x:row r="35">
      <x:c r="A35" s="12" t="str">
        <x:v>DG-EM-034</x:v>
      </x:c>
      <x:c r="B35" s="12" t="str"/>
      <x:c r="C35" s="12" t="str">
        <x:v>Emerald Collection</x:v>
      </x:c>
      <x:c r="D35" s="12" t="str">
        <x:v>Esmeraldas</x:v>
      </x:c>
      <x:c r="E35" s="12" t="str">
        <x:v>Berilo</x:v>
      </x:c>
      <x:c r="F35" s="12" t="str">
        <x:v>Esmeralda</x:v>
      </x:c>
      <x:c r="G35" s="12" t="str">
        <x:v>Gema individual</x:v>
      </x:c>
      <x:c r="H35" s="18" t="n">
        <x:v>1</x:v>
      </x:c>
      <x:c r="I35" s="12" t="str">
        <x:v>Oval mista</x:v>
      </x:c>
      <x:c r="J35" s="12" t="str">
        <x:v>10 x 6 x 5</x:v>
      </x:c>
      <x:c r="K35" s="14" t="n">
        <x:v>1.825</x:v>
      </x:c>
      <x:c r="L35" s="12" t="str">
        <x:v>Sim</x:v>
      </x:c>
      <x:c r="M35" s="12" t="str">
        <x:v>Balança / informado</x:v>
      </x:c>
      <x:c r="N35" s="12" t="str">
        <x:v>Verde médio vivo</x:v>
      </x:c>
      <x:c r="O35" s="12" t="str">
        <x:v>Semi-transparente a translúcida</x:v>
      </x:c>
      <x:c r="P35" s="12" t="str"/>
      <x:c r="Q35" s="12" t="str">
        <x:v>Não avaliado / não informado</x:v>
      </x:c>
      <x:c r="R35" s="12" t="str">
        <x:v>Não</x:v>
      </x:c>
      <x:c r="S35" s="12" t="str"/>
      <x:c r="T35" s="12" t="str"/>
      <x:c r="U35" s="20"/>
      <x:c r="V35" s="20"/>
      <x:c r="W35" s="20"/>
      <x:c r="X35" s="20"/>
      <x:c r="Y35" s="20"/>
      <x:c r="Z35" s="20"/>
      <x:c r="AA35" s="20"/>
      <x:c r="AB35" s="12" t="str">
        <x:v>Pendente de precificação individual</x:v>
      </x:c>
      <x:c r="AC35" s="16" t="n">
        <x:v>8.7</x:v>
      </x:c>
      <x:c r="AD35" s="12" t="str">
        <x:v>A</x:v>
      </x:c>
      <x:c r="AE35" s="12" t="str">
        <x:v>A definir</x:v>
      </x:c>
      <x:c r="AF35" s="12" t="str">
        <x:v>Par de brincos / anel / pingente</x:v>
      </x:c>
      <x:c r="AG35" s="12" t="str">
        <x:v>Par de brincos / anel / pingente</x:v>
      </x:c>
      <x:c r="AH35" s="12" t="str">
        <x:v>Coleção</x:v>
      </x:c>
      <x:c r="AI35" s="12" t="str"/>
      <x:c r="AJ35" s="12" t="str"/>
      <x:c r="AK35" s="12" t="str"/>
      <x:c r="AL35" s="12" t="str"/>
      <x:c r="AM35" s="12" t="str">
        <x:v>Não informado</x:v>
      </x:c>
      <x:c r="AN35" s="12" t="str"/>
      <x:c r="AO35" s="12" t="str">
        <x:v>2026-07-01</x:v>
      </x:c>
      <x:c r="AP35" s="12" t="str">
        <x:v>2026-07-19</x:v>
      </x:c>
      <x:c r="AQ35" s="12" t="str">
        <x:v>Alta</x:v>
      </x:c>
      <x:c r="AR35" s="12" t="str">
        <x:v>Inventário mestre completo atualizado em 2026-07-01</x:v>
      </x:c>
      <x:c r="AS35" s="12" t="str">
        <x:v>Precificação individual pendente</x:v>
      </x:c>
      <x:c r="AT35" s="12" t="str">
        <x:v>Avaliação visual; tratamentos não avaliados; confirmar naturalidade/tratamento em laboratório.</x:v>
      </x:c>
    </x:row>
    <x:row r="36">
      <x:c r="A36" s="12" t="str">
        <x:v>DG-EM-035</x:v>
      </x:c>
      <x:c r="B36" s="12" t="str"/>
      <x:c r="C36" s="12" t="str">
        <x:v>Emerald Collection</x:v>
      </x:c>
      <x:c r="D36" s="12" t="str">
        <x:v>Esmeraldas</x:v>
      </x:c>
      <x:c r="E36" s="12" t="str">
        <x:v>Berilo</x:v>
      </x:c>
      <x:c r="F36" s="12" t="str">
        <x:v>Esmeralda</x:v>
      </x:c>
      <x:c r="G36" s="12" t="str">
        <x:v>Gema individual</x:v>
      </x:c>
      <x:c r="H36" s="18" t="n">
        <x:v>1</x:v>
      </x:c>
      <x:c r="I36" s="12" t="str">
        <x:v>Octogonal / Emerald Cut</x:v>
      </x:c>
      <x:c r="J36" s="12" t="str">
        <x:v>7 x 7 x 4</x:v>
      </x:c>
      <x:c r="K36" s="14" t="n">
        <x:v>1.62</x:v>
      </x:c>
      <x:c r="L36" s="12" t="str">
        <x:v>Sim</x:v>
      </x:c>
      <x:c r="M36" s="12" t="str">
        <x:v>Balança / informado</x:v>
      </x:c>
      <x:c r="N36" s="12" t="str">
        <x:v>Verde médio azulado</x:v>
      </x:c>
      <x:c r="O36" s="12" t="str">
        <x:v>Semi-transparente a translúcida</x:v>
      </x:c>
      <x:c r="P36" s="12" t="str"/>
      <x:c r="Q36" s="12" t="str">
        <x:v>Não avaliado / não informado</x:v>
      </x:c>
      <x:c r="R36" s="12" t="str">
        <x:v>Não</x:v>
      </x:c>
      <x:c r="S36" s="12" t="str"/>
      <x:c r="T36" s="12" t="str"/>
      <x:c r="U36" s="20"/>
      <x:c r="V36" s="20"/>
      <x:c r="W36" s="20"/>
      <x:c r="X36" s="20"/>
      <x:c r="Y36" s="20"/>
      <x:c r="Z36" s="20"/>
      <x:c r="AA36" s="20"/>
      <x:c r="AB36" s="12" t="str">
        <x:v>Pendente de precificação individual</x:v>
      </x:c>
      <x:c r="AC36" s="16" t="n">
        <x:v>8.5</x:v>
      </x:c>
      <x:c r="AD36" s="12" t="str">
        <x:v>A-</x:v>
      </x:c>
      <x:c r="AE36" s="12" t="str">
        <x:v>A definir</x:v>
      </x:c>
      <x:c r="AF36" s="12" t="str">
        <x:v>Anel solitário delicado / pingente</x:v>
      </x:c>
      <x:c r="AG36" s="12" t="str">
        <x:v>Anel solitário delicado / pingente</x:v>
      </x:c>
      <x:c r="AH36" s="12" t="str">
        <x:v>Coleção</x:v>
      </x:c>
      <x:c r="AI36" s="12" t="str"/>
      <x:c r="AJ36" s="12" t="str"/>
      <x:c r="AK36" s="12" t="str"/>
      <x:c r="AL36" s="12" t="str"/>
      <x:c r="AM36" s="12" t="str">
        <x:v>Não informado</x:v>
      </x:c>
      <x:c r="AN36" s="12" t="str"/>
      <x:c r="AO36" s="12" t="str">
        <x:v>2026-07-01</x:v>
      </x:c>
      <x:c r="AP36" s="12" t="str">
        <x:v>2026-07-19</x:v>
      </x:c>
      <x:c r="AQ36" s="12" t="str">
        <x:v>Alta</x:v>
      </x:c>
      <x:c r="AR36" s="12" t="str">
        <x:v>Inventário mestre completo atualizado em 2026-07-01</x:v>
      </x:c>
      <x:c r="AS36" s="12" t="str">
        <x:v>Precificação individual pendente</x:v>
      </x:c>
      <x:c r="AT36" s="12" t="str">
        <x:v>Avaliação visual; tratamentos não avaliados; confirmar naturalidade/tratamento em laboratório.</x:v>
      </x:c>
    </x:row>
    <x:row r="37">
      <x:c r="A37" s="12" t="str">
        <x:v>DG-EM-036</x:v>
      </x:c>
      <x:c r="B37" s="12" t="str"/>
      <x:c r="C37" s="12" t="str">
        <x:v>Emerald Collection</x:v>
      </x:c>
      <x:c r="D37" s="12" t="str">
        <x:v>Esmeraldas</x:v>
      </x:c>
      <x:c r="E37" s="12" t="str">
        <x:v>Berilo</x:v>
      </x:c>
      <x:c r="F37" s="12" t="str">
        <x:v>Esmeralda</x:v>
      </x:c>
      <x:c r="G37" s="12" t="str">
        <x:v>Gema individual</x:v>
      </x:c>
      <x:c r="H37" s="18" t="n">
        <x:v>1</x:v>
      </x:c>
      <x:c r="I37" s="12" t="str">
        <x:v>Octogonal / Emerald Cut</x:v>
      </x:c>
      <x:c r="J37" s="12" t="str">
        <x:v>7 x 7 x 4</x:v>
      </x:c>
      <x:c r="K37" s="14" t="n">
        <x:v>1.845</x:v>
      </x:c>
      <x:c r="L37" s="12" t="str">
        <x:v>Sim</x:v>
      </x:c>
      <x:c r="M37" s="12" t="str">
        <x:v>Balança / informado</x:v>
      </x:c>
      <x:c r="N37" s="12" t="str">
        <x:v>Verde médio a médio-intenso</x:v>
      </x:c>
      <x:c r="O37" s="12" t="str">
        <x:v>Semi-transparente a translúcida</x:v>
      </x:c>
      <x:c r="P37" s="12" t="str"/>
      <x:c r="Q37" s="12" t="str">
        <x:v>Não avaliado / não informado</x:v>
      </x:c>
      <x:c r="R37" s="12" t="str">
        <x:v>Não</x:v>
      </x:c>
      <x:c r="S37" s="12" t="str"/>
      <x:c r="T37" s="12" t="str"/>
      <x:c r="U37" s="20"/>
      <x:c r="V37" s="20"/>
      <x:c r="W37" s="20"/>
      <x:c r="X37" s="20"/>
      <x:c r="Y37" s="20"/>
      <x:c r="Z37" s="20"/>
      <x:c r="AA37" s="20"/>
      <x:c r="AB37" s="12" t="str">
        <x:v>Pendente de precificação individual</x:v>
      </x:c>
      <x:c r="AC37" s="16" t="n">
        <x:v>8.8</x:v>
      </x:c>
      <x:c r="AD37" s="12" t="str">
        <x:v>A</x:v>
      </x:c>
      <x:c r="AE37" s="12" t="str">
        <x:v>A definir</x:v>
      </x:c>
      <x:c r="AF37" s="12" t="str">
        <x:v>Anel solitário / brincos / pingente</x:v>
      </x:c>
      <x:c r="AG37" s="12" t="str">
        <x:v>Anel solitário / brincos / pingente</x:v>
      </x:c>
      <x:c r="AH37" s="12" t="str">
        <x:v>Coleção</x:v>
      </x:c>
      <x:c r="AI37" s="12" t="str"/>
      <x:c r="AJ37" s="12" t="str"/>
      <x:c r="AK37" s="12" t="str"/>
      <x:c r="AL37" s="12" t="str"/>
      <x:c r="AM37" s="12" t="str">
        <x:v>Não informado</x:v>
      </x:c>
      <x:c r="AN37" s="12" t="str"/>
      <x:c r="AO37" s="12" t="str">
        <x:v>2026-07-01</x:v>
      </x:c>
      <x:c r="AP37" s="12" t="str">
        <x:v>2026-07-19</x:v>
      </x:c>
      <x:c r="AQ37" s="12" t="str">
        <x:v>Alta</x:v>
      </x:c>
      <x:c r="AR37" s="12" t="str">
        <x:v>Inventário mestre completo atualizado em 2026-07-01</x:v>
      </x:c>
      <x:c r="AS37" s="12" t="str">
        <x:v>Precificação individual pendente</x:v>
      </x:c>
      <x:c r="AT37" s="12" t="str">
        <x:v>Avaliação visual; tratamentos não avaliados; confirmar naturalidade/tratamento em laboratório.</x:v>
      </x:c>
    </x:row>
    <x:row r="38">
      <x:c r="A38" s="12" t="str">
        <x:v>DG-EM-037</x:v>
      </x:c>
      <x:c r="B38" s="12" t="str"/>
      <x:c r="C38" s="12" t="str">
        <x:v>Emerald Collection</x:v>
      </x:c>
      <x:c r="D38" s="12" t="str">
        <x:v>Esmeraldas</x:v>
      </x:c>
      <x:c r="E38" s="12" t="str">
        <x:v>Berilo</x:v>
      </x:c>
      <x:c r="F38" s="12" t="str">
        <x:v>Esmeralda</x:v>
      </x:c>
      <x:c r="G38" s="12" t="str">
        <x:v>Gema individual</x:v>
      </x:c>
      <x:c r="H38" s="18" t="n">
        <x:v>1</x:v>
      </x:c>
      <x:c r="I38" s="12" t="str">
        <x:v>Octogonal / Emerald Cut</x:v>
      </x:c>
      <x:c r="J38" s="12" t="str">
        <x:v>7 x 7 x 4</x:v>
      </x:c>
      <x:c r="K38" s="14" t="n">
        <x:v>1.7</x:v>
      </x:c>
      <x:c r="L38" s="12" t="str">
        <x:v>Sim</x:v>
      </x:c>
      <x:c r="M38" s="12" t="str">
        <x:v>Balança / informado</x:v>
      </x:c>
      <x:c r="N38" s="12" t="str">
        <x:v>Verde médio azulado</x:v>
      </x:c>
      <x:c r="O38" s="12" t="str">
        <x:v>Semi-transparente a translúcida</x:v>
      </x:c>
      <x:c r="P38" s="12" t="str"/>
      <x:c r="Q38" s="12" t="str">
        <x:v>Não avaliado / não informado</x:v>
      </x:c>
      <x:c r="R38" s="12" t="str">
        <x:v>Não</x:v>
      </x:c>
      <x:c r="S38" s="12" t="str"/>
      <x:c r="T38" s="12" t="str"/>
      <x:c r="U38" s="20"/>
      <x:c r="V38" s="20"/>
      <x:c r="W38" s="20"/>
      <x:c r="X38" s="20"/>
      <x:c r="Y38" s="20"/>
      <x:c r="Z38" s="20"/>
      <x:c r="AA38" s="20"/>
      <x:c r="AB38" s="12" t="str">
        <x:v>Pendente de precificação individual</x:v>
      </x:c>
      <x:c r="AC38" s="16" t="n">
        <x:v>8.6</x:v>
      </x:c>
      <x:c r="AD38" s="12" t="str">
        <x:v>A</x:v>
      </x:c>
      <x:c r="AE38" s="12" t="str">
        <x:v>A definir</x:v>
      </x:c>
      <x:c r="AF38" s="12" t="str">
        <x:v>Anel delicado / brincos / pingente</x:v>
      </x:c>
      <x:c r="AG38" s="12" t="str">
        <x:v>Anel delicado / brincos / pingente</x:v>
      </x:c>
      <x:c r="AH38" s="12" t="str">
        <x:v>Coleção</x:v>
      </x:c>
      <x:c r="AI38" s="12" t="str"/>
      <x:c r="AJ38" s="12" t="str"/>
      <x:c r="AK38" s="12" t="str"/>
      <x:c r="AL38" s="12" t="str"/>
      <x:c r="AM38" s="12" t="str">
        <x:v>Não informado</x:v>
      </x:c>
      <x:c r="AN38" s="12" t="str"/>
      <x:c r="AO38" s="12" t="str">
        <x:v>2026-07-01</x:v>
      </x:c>
      <x:c r="AP38" s="12" t="str">
        <x:v>2026-07-19</x:v>
      </x:c>
      <x:c r="AQ38" s="12" t="str">
        <x:v>Alta</x:v>
      </x:c>
      <x:c r="AR38" s="12" t="str">
        <x:v>Inventário mestre completo atualizado em 2026-07-01</x:v>
      </x:c>
      <x:c r="AS38" s="12" t="str">
        <x:v>Precificação individual pendente</x:v>
      </x:c>
      <x:c r="AT38" s="12" t="str">
        <x:v>Avaliação visual; tratamentos não avaliados; confirmar naturalidade/tratamento em laboratório.</x:v>
      </x:c>
    </x:row>
    <x:row r="39">
      <x:c r="A39" s="12" t="str">
        <x:v>DG-EM-038</x:v>
      </x:c>
      <x:c r="B39" s="12" t="str"/>
      <x:c r="C39" s="12" t="str">
        <x:v>Emerald Collection</x:v>
      </x:c>
      <x:c r="D39" s="12" t="str">
        <x:v>Esmeraldas</x:v>
      </x:c>
      <x:c r="E39" s="12" t="str">
        <x:v>Berilo</x:v>
      </x:c>
      <x:c r="F39" s="12" t="str">
        <x:v>Esmeralda</x:v>
      </x:c>
      <x:c r="G39" s="12" t="str">
        <x:v>Gema individual</x:v>
      </x:c>
      <x:c r="H39" s="18" t="n">
        <x:v>1</x:v>
      </x:c>
      <x:c r="I39" s="12" t="str">
        <x:v>Oval</x:v>
      </x:c>
      <x:c r="J39" s="12" t="str">
        <x:v>8 x 6 x 3</x:v>
      </x:c>
      <x:c r="K39" s="14" t="n">
        <x:v>0.76</x:v>
      </x:c>
      <x:c r="L39" s="12" t="str">
        <x:v>Sim</x:v>
      </x:c>
      <x:c r="M39" s="12" t="str">
        <x:v>Balança / informado</x:v>
      </x:c>
      <x:c r="N39" s="12" t="str">
        <x:v>Verde médio-escuro</x:v>
      </x:c>
      <x:c r="O39" s="12" t="str">
        <x:v>Semi-transparente a translúcida</x:v>
      </x:c>
      <x:c r="P39" s="12" t="str"/>
      <x:c r="Q39" s="12" t="str">
        <x:v>Não avaliado / não informado</x:v>
      </x:c>
      <x:c r="R39" s="12" t="str">
        <x:v>Não</x:v>
      </x:c>
      <x:c r="S39" s="12" t="str"/>
      <x:c r="T39" s="12" t="str"/>
      <x:c r="U39" s="20"/>
      <x:c r="V39" s="20"/>
      <x:c r="W39" s="20"/>
      <x:c r="X39" s="20"/>
      <x:c r="Y39" s="20"/>
      <x:c r="Z39" s="20"/>
      <x:c r="AA39" s="20"/>
      <x:c r="AB39" s="12" t="str">
        <x:v>Pendente de precificação individual</x:v>
      </x:c>
      <x:c r="AC39" s="16" t="n">
        <x:v>7.8</x:v>
      </x:c>
      <x:c r="AD39" s="12" t="str">
        <x:v>B+</x:v>
      </x:c>
      <x:c r="AE39" s="12" t="str">
        <x:v>A definir</x:v>
      </x:c>
      <x:c r="AF39" s="12" t="str">
        <x:v>Joias de entrada / anel delicado</x:v>
      </x:c>
      <x:c r="AG39" s="12" t="str">
        <x:v>Joias de entrada / anel delicado</x:v>
      </x:c>
      <x:c r="AH39" s="12" t="str">
        <x:v>Coleção</x:v>
      </x:c>
      <x:c r="AI39" s="12" t="str"/>
      <x:c r="AJ39" s="12" t="str"/>
      <x:c r="AK39" s="12" t="str"/>
      <x:c r="AL39" s="12" t="str"/>
      <x:c r="AM39" s="12" t="str">
        <x:v>Não informado</x:v>
      </x:c>
      <x:c r="AN39" s="12" t="str"/>
      <x:c r="AO39" s="12" t="str">
        <x:v>2026-07-01</x:v>
      </x:c>
      <x:c r="AP39" s="12" t="str">
        <x:v>2026-07-19</x:v>
      </x:c>
      <x:c r="AQ39" s="12" t="str">
        <x:v>Alta</x:v>
      </x:c>
      <x:c r="AR39" s="12" t="str">
        <x:v>Inventário mestre completo atualizado em 2026-07-01</x:v>
      </x:c>
      <x:c r="AS39" s="12" t="str">
        <x:v>Precificação individual pendente</x:v>
      </x:c>
      <x:c r="AT39" s="12" t="str">
        <x:v>Avaliação visual; tratamentos não avaliados; confirmar naturalidade/tratamento em laboratório.</x:v>
      </x:c>
    </x:row>
    <x:row r="40">
      <x:c r="A40" s="12" t="str">
        <x:v>DG-EM-039</x:v>
      </x:c>
      <x:c r="B40" s="12" t="str"/>
      <x:c r="C40" s="12" t="str">
        <x:v>Emerald Collection</x:v>
      </x:c>
      <x:c r="D40" s="12" t="str">
        <x:v>Esmeraldas</x:v>
      </x:c>
      <x:c r="E40" s="12" t="str">
        <x:v>Berilo</x:v>
      </x:c>
      <x:c r="F40" s="12" t="str">
        <x:v>Esmeralda</x:v>
      </x:c>
      <x:c r="G40" s="12" t="str">
        <x:v>Gema individual</x:v>
      </x:c>
      <x:c r="H40" s="18" t="n">
        <x:v>1</x:v>
      </x:c>
      <x:c r="I40" s="12" t="str">
        <x:v>Oval</x:v>
      </x:c>
      <x:c r="J40" s="12" t="str">
        <x:v>10 x 7 x 3</x:v>
      </x:c>
      <x:c r="K40" s="14" t="n">
        <x:v>1.5</x:v>
      </x:c>
      <x:c r="L40" s="12" t="str">
        <x:v>Sim</x:v>
      </x:c>
      <x:c r="M40" s="12" t="str">
        <x:v>Balança / informado</x:v>
      </x:c>
      <x:c r="N40" s="12" t="str">
        <x:v>Verde médio a médio-escuro</x:v>
      </x:c>
      <x:c r="O40" s="12" t="str">
        <x:v>Semi-transparente a translúcida</x:v>
      </x:c>
      <x:c r="P40" s="12" t="str"/>
      <x:c r="Q40" s="12" t="str">
        <x:v>Não avaliado / não informado</x:v>
      </x:c>
      <x:c r="R40" s="12" t="str">
        <x:v>Não</x:v>
      </x:c>
      <x:c r="S40" s="12" t="str"/>
      <x:c r="T40" s="12" t="str"/>
      <x:c r="U40" s="20"/>
      <x:c r="V40" s="20"/>
      <x:c r="W40" s="20"/>
      <x:c r="X40" s="20"/>
      <x:c r="Y40" s="20"/>
      <x:c r="Z40" s="20"/>
      <x:c r="AA40" s="20"/>
      <x:c r="AB40" s="12" t="str">
        <x:v>Pendente de precificação individual</x:v>
      </x:c>
      <x:c r="AC40" s="16" t="n">
        <x:v>8</x:v>
      </x:c>
      <x:c r="AD40" s="12" t="str">
        <x:v>B+</x:v>
      </x:c>
      <x:c r="AE40" s="12" t="str">
        <x:v>A definir</x:v>
      </x:c>
      <x:c r="AF40" s="12" t="str">
        <x:v>Anel de uso diário / brincos / pingente</x:v>
      </x:c>
      <x:c r="AG40" s="12" t="str">
        <x:v>Anel de uso diário / brincos / pingente</x:v>
      </x:c>
      <x:c r="AH40" s="12" t="str">
        <x:v>Coleção</x:v>
      </x:c>
      <x:c r="AI40" s="12" t="str"/>
      <x:c r="AJ40" s="12" t="str"/>
      <x:c r="AK40" s="12" t="str"/>
      <x:c r="AL40" s="12" t="str"/>
      <x:c r="AM40" s="12" t="str">
        <x:v>Não informado</x:v>
      </x:c>
      <x:c r="AN40" s="12" t="str"/>
      <x:c r="AO40" s="12" t="str">
        <x:v>2026-07-01</x:v>
      </x:c>
      <x:c r="AP40" s="12" t="str">
        <x:v>2026-07-19</x:v>
      </x:c>
      <x:c r="AQ40" s="12" t="str">
        <x:v>Alta</x:v>
      </x:c>
      <x:c r="AR40" s="12" t="str">
        <x:v>Inventário mestre completo atualizado em 2026-07-01</x:v>
      </x:c>
      <x:c r="AS40" s="12" t="str">
        <x:v>Precificação individual pendente</x:v>
      </x:c>
      <x:c r="AT40" s="12" t="str">
        <x:v>Avaliação visual; tratamentos não avaliados; confirmar naturalidade/tratamento em laboratório.</x:v>
      </x:c>
    </x:row>
    <x:row r="41">
      <x:c r="A41" s="12" t="str">
        <x:v>DG-EM-040</x:v>
      </x:c>
      <x:c r="B41" s="12" t="str"/>
      <x:c r="C41" s="12" t="str">
        <x:v>Emerald Collection</x:v>
      </x:c>
      <x:c r="D41" s="12" t="str">
        <x:v>Esmeraldas</x:v>
      </x:c>
      <x:c r="E41" s="12" t="str">
        <x:v>Berilo</x:v>
      </x:c>
      <x:c r="F41" s="12" t="str">
        <x:v>Esmeralda</x:v>
      </x:c>
      <x:c r="G41" s="12" t="str">
        <x:v>Gema individual</x:v>
      </x:c>
      <x:c r="H41" s="18" t="n">
        <x:v>1</x:v>
      </x:c>
      <x:c r="I41" s="12" t="str">
        <x:v>Oval</x:v>
      </x:c>
      <x:c r="J41" s="12" t="str">
        <x:v>8 x 7 x 4</x:v>
      </x:c>
      <x:c r="K41" s="14" t="n">
        <x:v>1.3</x:v>
      </x:c>
      <x:c r="L41" s="12" t="str">
        <x:v>Sim</x:v>
      </x:c>
      <x:c r="M41" s="12" t="str">
        <x:v>Balança / informado</x:v>
      </x:c>
      <x:c r="N41" s="12" t="str">
        <x:v>Verde médio</x:v>
      </x:c>
      <x:c r="O41" s="12" t="str">
        <x:v>Semi-transparente a translúcida</x:v>
      </x:c>
      <x:c r="P41" s="12" t="str"/>
      <x:c r="Q41" s="12" t="str">
        <x:v>Não avaliado / não informado</x:v>
      </x:c>
      <x:c r="R41" s="12" t="str">
        <x:v>Não</x:v>
      </x:c>
      <x:c r="S41" s="12" t="str"/>
      <x:c r="T41" s="12" t="str"/>
      <x:c r="U41" s="20"/>
      <x:c r="V41" s="20"/>
      <x:c r="W41" s="20"/>
      <x:c r="X41" s="20"/>
      <x:c r="Y41" s="20"/>
      <x:c r="Z41" s="20"/>
      <x:c r="AA41" s="20"/>
      <x:c r="AB41" s="12" t="str">
        <x:v>Pendente de precificação individual</x:v>
      </x:c>
      <x:c r="AC41" s="16" t="n">
        <x:v>8.3</x:v>
      </x:c>
      <x:c r="AD41" s="12" t="str">
        <x:v>A-</x:v>
      </x:c>
      <x:c r="AE41" s="12" t="str">
        <x:v>A definir</x:v>
      </x:c>
      <x:c r="AF41" s="12" t="str">
        <x:v>Anel solitário delicado / pingente</x:v>
      </x:c>
      <x:c r="AG41" s="12" t="str">
        <x:v>Anel solitário delicado / pingente</x:v>
      </x:c>
      <x:c r="AH41" s="12" t="str">
        <x:v>Coleção</x:v>
      </x:c>
      <x:c r="AI41" s="12" t="str"/>
      <x:c r="AJ41" s="12" t="str"/>
      <x:c r="AK41" s="12" t="str"/>
      <x:c r="AL41" s="12" t="str"/>
      <x:c r="AM41" s="12" t="str">
        <x:v>Não informado</x:v>
      </x:c>
      <x:c r="AN41" s="12" t="str"/>
      <x:c r="AO41" s="12" t="str">
        <x:v>2026-07-01</x:v>
      </x:c>
      <x:c r="AP41" s="12" t="str">
        <x:v>2026-07-19</x:v>
      </x:c>
      <x:c r="AQ41" s="12" t="str">
        <x:v>Alta</x:v>
      </x:c>
      <x:c r="AR41" s="12" t="str">
        <x:v>Inventário mestre completo atualizado em 2026-07-01</x:v>
      </x:c>
      <x:c r="AS41" s="12" t="str">
        <x:v>Precificação individual pendente</x:v>
      </x:c>
      <x:c r="AT41" s="12" t="str">
        <x:v>Avaliação visual; tratamentos não avaliados; confirmar naturalidade/tratamento em laboratório.</x:v>
      </x:c>
    </x:row>
    <x:row r="42">
      <x:c r="A42" s="12" t="str">
        <x:v>DG-EM-041</x:v>
      </x:c>
      <x:c r="B42" s="12" t="str"/>
      <x:c r="C42" s="12" t="str">
        <x:v>Emerald Collection</x:v>
      </x:c>
      <x:c r="D42" s="12" t="str">
        <x:v>Esmeraldas</x:v>
      </x:c>
      <x:c r="E42" s="12" t="str">
        <x:v>Berilo</x:v>
      </x:c>
      <x:c r="F42" s="12" t="str">
        <x:v>Esmeralda</x:v>
      </x:c>
      <x:c r="G42" s="12" t="str">
        <x:v>Gema individual</x:v>
      </x:c>
      <x:c r="H42" s="18" t="n">
        <x:v>1</x:v>
      </x:c>
      <x:c r="I42" s="12" t="str">
        <x:v>Oval</x:v>
      </x:c>
      <x:c r="J42" s="12" t="str">
        <x:v>12 x 8 x 4</x:v>
      </x:c>
      <x:c r="K42" s="14" t="n">
        <x:v>2.195</x:v>
      </x:c>
      <x:c r="L42" s="12" t="str">
        <x:v>Sim</x:v>
      </x:c>
      <x:c r="M42" s="12" t="str">
        <x:v>Balança / informado</x:v>
      </x:c>
      <x:c r="N42" s="12" t="str">
        <x:v>Verde médio a intenso</x:v>
      </x:c>
      <x:c r="O42" s="12" t="str">
        <x:v>Semi-transparente a translúcida</x:v>
      </x:c>
      <x:c r="P42" s="12" t="str"/>
      <x:c r="Q42" s="12" t="str">
        <x:v>Não avaliado / não informado</x:v>
      </x:c>
      <x:c r="R42" s="12" t="str">
        <x:v>Não</x:v>
      </x:c>
      <x:c r="S42" s="12" t="str"/>
      <x:c r="T42" s="12" t="str"/>
      <x:c r="U42" s="20"/>
      <x:c r="V42" s="20"/>
      <x:c r="W42" s="20"/>
      <x:c r="X42" s="20"/>
      <x:c r="Y42" s="20"/>
      <x:c r="Z42" s="20"/>
      <x:c r="AA42" s="20"/>
      <x:c r="AB42" s="12" t="str">
        <x:v>Pendente de precificação individual</x:v>
      </x:c>
      <x:c r="AC42" s="16" t="n">
        <x:v>8.4</x:v>
      </x:c>
      <x:c r="AD42" s="12" t="str">
        <x:v>A-</x:v>
      </x:c>
      <x:c r="AE42" s="12" t="str">
        <x:v>A definir</x:v>
      </x:c>
      <x:c r="AF42" s="12" t="str">
        <x:v>Anel de destaque / pingente</x:v>
      </x:c>
      <x:c r="AG42" s="12" t="str">
        <x:v>Anel de destaque / pingente</x:v>
      </x:c>
      <x:c r="AH42" s="12" t="str">
        <x:v>Coleção</x:v>
      </x:c>
      <x:c r="AI42" s="12" t="str"/>
      <x:c r="AJ42" s="12" t="str"/>
      <x:c r="AK42" s="12" t="str"/>
      <x:c r="AL42" s="12" t="str"/>
      <x:c r="AM42" s="12" t="str">
        <x:v>Não informado</x:v>
      </x:c>
      <x:c r="AN42" s="12" t="str"/>
      <x:c r="AO42" s="12" t="str">
        <x:v>2026-07-01</x:v>
      </x:c>
      <x:c r="AP42" s="12" t="str">
        <x:v>2026-07-19</x:v>
      </x:c>
      <x:c r="AQ42" s="12" t="str">
        <x:v>Alta</x:v>
      </x:c>
      <x:c r="AR42" s="12" t="str">
        <x:v>Inventário mestre completo atualizado em 2026-07-01</x:v>
      </x:c>
      <x:c r="AS42" s="12" t="str">
        <x:v>Precificação individual pendente</x:v>
      </x:c>
      <x:c r="AT42" s="12" t="str">
        <x:v>Avaliação visual; tratamentos não avaliados; confirmar naturalidade/tratamento em laboratório.</x:v>
      </x:c>
    </x:row>
    <x:row r="43">
      <x:c r="A43" s="12" t="str">
        <x:v>DG-EM-042</x:v>
      </x:c>
      <x:c r="B43" s="12" t="str"/>
      <x:c r="C43" s="12" t="str">
        <x:v>Emerald Collection</x:v>
      </x:c>
      <x:c r="D43" s="12" t="str">
        <x:v>Esmeraldas</x:v>
      </x:c>
      <x:c r="E43" s="12" t="str">
        <x:v>Berilo</x:v>
      </x:c>
      <x:c r="F43" s="12" t="str">
        <x:v>Esmeralda</x:v>
      </x:c>
      <x:c r="G43" s="12" t="str">
        <x:v>Gema individual</x:v>
      </x:c>
      <x:c r="H43" s="18" t="n">
        <x:v>1</x:v>
      </x:c>
      <x:c r="I43" s="12" t="str">
        <x:v>Oval</x:v>
      </x:c>
      <x:c r="J43" s="12" t="str">
        <x:v>9 x 7 x 3</x:v>
      </x:c>
      <x:c r="K43" s="14" t="n">
        <x:v>1.39</x:v>
      </x:c>
      <x:c r="L43" s="12" t="str">
        <x:v>Sim</x:v>
      </x:c>
      <x:c r="M43" s="12" t="str">
        <x:v>Balança / informado</x:v>
      </x:c>
      <x:c r="N43" s="12" t="str">
        <x:v>Verde médio</x:v>
      </x:c>
      <x:c r="O43" s="12" t="str">
        <x:v>Semi-transparente a translúcida</x:v>
      </x:c>
      <x:c r="P43" s="12" t="str"/>
      <x:c r="Q43" s="12" t="str">
        <x:v>Não avaliado / não informado</x:v>
      </x:c>
      <x:c r="R43" s="12" t="str">
        <x:v>Não</x:v>
      </x:c>
      <x:c r="S43" s="12" t="str"/>
      <x:c r="T43" s="12" t="str"/>
      <x:c r="U43" s="20"/>
      <x:c r="V43" s="20"/>
      <x:c r="W43" s="20"/>
      <x:c r="X43" s="20"/>
      <x:c r="Y43" s="20"/>
      <x:c r="Z43" s="20"/>
      <x:c r="AA43" s="20"/>
      <x:c r="AB43" s="12" t="str">
        <x:v>Pendente de precificação individual</x:v>
      </x:c>
      <x:c r="AC43" s="16" t="n">
        <x:v>8.1</x:v>
      </x:c>
      <x:c r="AD43" s="12" t="str">
        <x:v>B+</x:v>
      </x:c>
      <x:c r="AE43" s="12" t="str">
        <x:v>A definir</x:v>
      </x:c>
      <x:c r="AF43" s="12" t="str">
        <x:v>Anel delicado / brincos / pingente</x:v>
      </x:c>
      <x:c r="AG43" s="12" t="str">
        <x:v>Anel delicado / brincos / pingente</x:v>
      </x:c>
      <x:c r="AH43" s="12" t="str">
        <x:v>Coleção</x:v>
      </x:c>
      <x:c r="AI43" s="12" t="str"/>
      <x:c r="AJ43" s="12" t="str"/>
      <x:c r="AK43" s="12" t="str"/>
      <x:c r="AL43" s="12" t="str"/>
      <x:c r="AM43" s="12" t="str">
        <x:v>Não informado</x:v>
      </x:c>
      <x:c r="AN43" s="12" t="str"/>
      <x:c r="AO43" s="12" t="str">
        <x:v>2026-07-01</x:v>
      </x:c>
      <x:c r="AP43" s="12" t="str">
        <x:v>2026-07-19</x:v>
      </x:c>
      <x:c r="AQ43" s="12" t="str">
        <x:v>Alta</x:v>
      </x:c>
      <x:c r="AR43" s="12" t="str">
        <x:v>Inventário mestre completo atualizado em 2026-07-01</x:v>
      </x:c>
      <x:c r="AS43" s="12" t="str">
        <x:v>Precificação individual pendente</x:v>
      </x:c>
      <x:c r="AT43" s="12" t="str">
        <x:v>Avaliação visual; tratamentos não avaliados; confirmar naturalidade/tratamento em laboratório.</x:v>
      </x:c>
    </x:row>
    <x:row r="44">
      <x:c r="A44" s="12" t="str">
        <x:v>DG-EM-043</x:v>
      </x:c>
      <x:c r="B44" s="12" t="str"/>
      <x:c r="C44" s="12" t="str">
        <x:v>Emerald Collection</x:v>
      </x:c>
      <x:c r="D44" s="12" t="str">
        <x:v>Esmeraldas</x:v>
      </x:c>
      <x:c r="E44" s="12" t="str">
        <x:v>Berilo</x:v>
      </x:c>
      <x:c r="F44" s="12" t="str">
        <x:v>Esmeralda</x:v>
      </x:c>
      <x:c r="G44" s="12" t="str">
        <x:v>Gema individual</x:v>
      </x:c>
      <x:c r="H44" s="18" t="n">
        <x:v>1</x:v>
      </x:c>
      <x:c r="I44" s="12" t="str">
        <x:v>Oval</x:v>
      </x:c>
      <x:c r="J44" s="12" t="str">
        <x:v>9 x 6 x 3</x:v>
      </x:c>
      <x:c r="K44" s="14" t="n">
        <x:v>1.365</x:v>
      </x:c>
      <x:c r="L44" s="12" t="str">
        <x:v>Sim</x:v>
      </x:c>
      <x:c r="M44" s="12" t="str">
        <x:v>Balança / informado</x:v>
      </x:c>
      <x:c r="N44" s="12" t="str">
        <x:v>Verde médio azulado</x:v>
      </x:c>
      <x:c r="O44" s="12" t="str">
        <x:v>Semi-transparente a translúcida</x:v>
      </x:c>
      <x:c r="P44" s="12" t="str"/>
      <x:c r="Q44" s="12" t="str">
        <x:v>Não avaliado / não informado</x:v>
      </x:c>
      <x:c r="R44" s="12" t="str">
        <x:v>Não</x:v>
      </x:c>
      <x:c r="S44" s="12" t="str"/>
      <x:c r="T44" s="12" t="str"/>
      <x:c r="U44" s="20"/>
      <x:c r="V44" s="20"/>
      <x:c r="W44" s="20"/>
      <x:c r="X44" s="20"/>
      <x:c r="Y44" s="20"/>
      <x:c r="Z44" s="20"/>
      <x:c r="AA44" s="20"/>
      <x:c r="AB44" s="12" t="str">
        <x:v>Pendente de precificação individual</x:v>
      </x:c>
      <x:c r="AC44" s="16" t="n">
        <x:v>8.2</x:v>
      </x:c>
      <x:c r="AD44" s="12" t="str">
        <x:v>B+</x:v>
      </x:c>
      <x:c r="AE44" s="12" t="str">
        <x:v>A definir</x:v>
      </x:c>
      <x:c r="AF44" s="12" t="str">
        <x:v>Anel delicado / brincos / pingente</x:v>
      </x:c>
      <x:c r="AG44" s="12" t="str">
        <x:v>Anel delicado / brincos / pingente</x:v>
      </x:c>
      <x:c r="AH44" s="12" t="str">
        <x:v>Coleção</x:v>
      </x:c>
      <x:c r="AI44" s="12" t="str"/>
      <x:c r="AJ44" s="12" t="str"/>
      <x:c r="AK44" s="12" t="str"/>
      <x:c r="AL44" s="12" t="str"/>
      <x:c r="AM44" s="12" t="str">
        <x:v>Não informado</x:v>
      </x:c>
      <x:c r="AN44" s="12" t="str"/>
      <x:c r="AO44" s="12" t="str">
        <x:v>2026-07-01</x:v>
      </x:c>
      <x:c r="AP44" s="12" t="str">
        <x:v>2026-07-19</x:v>
      </x:c>
      <x:c r="AQ44" s="12" t="str">
        <x:v>Alta</x:v>
      </x:c>
      <x:c r="AR44" s="12" t="str">
        <x:v>Inventário mestre completo atualizado em 2026-07-01</x:v>
      </x:c>
      <x:c r="AS44" s="12" t="str">
        <x:v>Precificação individual pendente</x:v>
      </x:c>
      <x:c r="AT44" s="12" t="str">
        <x:v>Avaliação visual; tratamentos não avaliados; confirmar naturalidade/tratamento em laboratório.</x:v>
      </x:c>
    </x:row>
    <x:row r="45">
      <x:c r="A45" s="12" t="str">
        <x:v>DG-EM-044</x:v>
      </x:c>
      <x:c r="B45" s="12" t="str"/>
      <x:c r="C45" s="12" t="str">
        <x:v>Emerald Collection</x:v>
      </x:c>
      <x:c r="D45" s="12" t="str">
        <x:v>Esmeraldas</x:v>
      </x:c>
      <x:c r="E45" s="12" t="str">
        <x:v>Berilo</x:v>
      </x:c>
      <x:c r="F45" s="12" t="str">
        <x:v>Esmeralda</x:v>
      </x:c>
      <x:c r="G45" s="12" t="str">
        <x:v>Gema individual</x:v>
      </x:c>
      <x:c r="H45" s="18" t="n">
        <x:v>1</x:v>
      </x:c>
      <x:c r="I45" s="12" t="str">
        <x:v>Gota / Pêra</x:v>
      </x:c>
      <x:c r="J45" s="12" t="str">
        <x:v>10 x 7 x 5</x:v>
      </x:c>
      <x:c r="K45" s="14" t="n">
        <x:v>2</x:v>
      </x:c>
      <x:c r="L45" s="12" t="str">
        <x:v>Sim</x:v>
      </x:c>
      <x:c r="M45" s="12" t="str">
        <x:v>Balança / informado</x:v>
      </x:c>
      <x:c r="N45" s="12" t="str">
        <x:v>Verde médio</x:v>
      </x:c>
      <x:c r="O45" s="12" t="str">
        <x:v>Semi-transparente a translúcida</x:v>
      </x:c>
      <x:c r="P45" s="12" t="str"/>
      <x:c r="Q45" s="12" t="str">
        <x:v>Não avaliado / não informado</x:v>
      </x:c>
      <x:c r="R45" s="12" t="str">
        <x:v>Não</x:v>
      </x:c>
      <x:c r="S45" s="12" t="str"/>
      <x:c r="T45" s="12" t="str"/>
      <x:c r="U45" s="20"/>
      <x:c r="V45" s="20"/>
      <x:c r="W45" s="20"/>
      <x:c r="X45" s="20"/>
      <x:c r="Y45" s="20"/>
      <x:c r="Z45" s="20"/>
      <x:c r="AA45" s="20"/>
      <x:c r="AB45" s="12" t="str">
        <x:v>Pendente de precificação individual</x:v>
      </x:c>
      <x:c r="AC45" s="16" t="n">
        <x:v>8.5</x:v>
      </x:c>
      <x:c r="AD45" s="12" t="str">
        <x:v>A-</x:v>
      </x:c>
      <x:c r="AE45" s="12" t="str">
        <x:v>A definir</x:v>
      </x:c>
      <x:c r="AF45" s="12" t="str">
        <x:v>Pingente / anel feminino</x:v>
      </x:c>
      <x:c r="AG45" s="12" t="str">
        <x:v>Pingente / anel feminino</x:v>
      </x:c>
      <x:c r="AH45" s="12" t="str">
        <x:v>Coleção</x:v>
      </x:c>
      <x:c r="AI45" s="12" t="str"/>
      <x:c r="AJ45" s="12" t="str"/>
      <x:c r="AK45" s="12" t="str"/>
      <x:c r="AL45" s="12" t="str"/>
      <x:c r="AM45" s="12" t="str">
        <x:v>Não informado</x:v>
      </x:c>
      <x:c r="AN45" s="12" t="str"/>
      <x:c r="AO45" s="12" t="str">
        <x:v>2026-07-01</x:v>
      </x:c>
      <x:c r="AP45" s="12" t="str">
        <x:v>2026-07-19</x:v>
      </x:c>
      <x:c r="AQ45" s="12" t="str">
        <x:v>Alta</x:v>
      </x:c>
      <x:c r="AR45" s="12" t="str">
        <x:v>Inventário mestre completo atualizado em 2026-07-01</x:v>
      </x:c>
      <x:c r="AS45" s="12" t="str">
        <x:v>Precificação individual pendente</x:v>
      </x:c>
      <x:c r="AT45" s="12" t="str">
        <x:v>Avaliação visual; tratamentos não avaliados; confirmar naturalidade/tratamento em laboratório.</x:v>
      </x:c>
    </x:row>
    <x:row r="46">
      <x:c r="A46" s="12" t="str">
        <x:v>DG-EM-045</x:v>
      </x:c>
      <x:c r="B46" s="12" t="str"/>
      <x:c r="C46" s="12" t="str">
        <x:v>Emerald Collection</x:v>
      </x:c>
      <x:c r="D46" s="12" t="str">
        <x:v>Esmeraldas</x:v>
      </x:c>
      <x:c r="E46" s="12" t="str">
        <x:v>Berilo</x:v>
      </x:c>
      <x:c r="F46" s="12" t="str">
        <x:v>Esmeralda</x:v>
      </x:c>
      <x:c r="G46" s="12" t="str">
        <x:v>Gema individual</x:v>
      </x:c>
      <x:c r="H46" s="18" t="n">
        <x:v>1</x:v>
      </x:c>
      <x:c r="I46" s="12" t="str">
        <x:v>Gota / Pêra</x:v>
      </x:c>
      <x:c r="J46" s="12" t="str">
        <x:v>12 x 8 x 3</x:v>
      </x:c>
      <x:c r="K46" s="14" t="n">
        <x:v>1.445</x:v>
      </x:c>
      <x:c r="L46" s="12" t="str">
        <x:v>Sim</x:v>
      </x:c>
      <x:c r="M46" s="12" t="str">
        <x:v>Balança / informado</x:v>
      </x:c>
      <x:c r="N46" s="12" t="str">
        <x:v>Verde médio a intenso</x:v>
      </x:c>
      <x:c r="O46" s="12" t="str">
        <x:v>Semi-transparente a translúcida</x:v>
      </x:c>
      <x:c r="P46" s="12" t="str"/>
      <x:c r="Q46" s="12" t="str">
        <x:v>Não avaliado / não informado</x:v>
      </x:c>
      <x:c r="R46" s="12" t="str">
        <x:v>Não</x:v>
      </x:c>
      <x:c r="S46" s="12" t="str"/>
      <x:c r="T46" s="12" t="str"/>
      <x:c r="U46" s="20"/>
      <x:c r="V46" s="20"/>
      <x:c r="W46" s="20"/>
      <x:c r="X46" s="20"/>
      <x:c r="Y46" s="20"/>
      <x:c r="Z46" s="20"/>
      <x:c r="AA46" s="20"/>
      <x:c r="AB46" s="12" t="str">
        <x:v>Pendente de precificação individual</x:v>
      </x:c>
      <x:c r="AC46" s="16" t="n">
        <x:v>8.2</x:v>
      </x:c>
      <x:c r="AD46" s="12" t="str">
        <x:v>B+</x:v>
      </x:c>
      <x:c r="AE46" s="12" t="str">
        <x:v>A definir</x:v>
      </x:c>
      <x:c r="AF46" s="12" t="str">
        <x:v>Pingente / brincos / anel delicado</x:v>
      </x:c>
      <x:c r="AG46" s="12" t="str">
        <x:v>Pingente / brincos / anel delicado</x:v>
      </x:c>
      <x:c r="AH46" s="12" t="str">
        <x:v>Coleção</x:v>
      </x:c>
      <x:c r="AI46" s="12" t="str"/>
      <x:c r="AJ46" s="12" t="str"/>
      <x:c r="AK46" s="12" t="str"/>
      <x:c r="AL46" s="12" t="str"/>
      <x:c r="AM46" s="12" t="str">
        <x:v>Não informado</x:v>
      </x:c>
      <x:c r="AN46" s="12" t="str"/>
      <x:c r="AO46" s="12" t="str">
        <x:v>2026-07-01</x:v>
      </x:c>
      <x:c r="AP46" s="12" t="str">
        <x:v>2026-07-19</x:v>
      </x:c>
      <x:c r="AQ46" s="12" t="str">
        <x:v>Alta</x:v>
      </x:c>
      <x:c r="AR46" s="12" t="str">
        <x:v>Inventário mestre completo atualizado em 2026-07-01</x:v>
      </x:c>
      <x:c r="AS46" s="12" t="str">
        <x:v>Precificação individual pendente</x:v>
      </x:c>
      <x:c r="AT46" s="12" t="str">
        <x:v>Avaliação visual; tratamentos não avaliados; confirmar naturalidade/tratamento em laboratório.</x:v>
      </x:c>
    </x:row>
    <x:row r="47">
      <x:c r="A47" s="12" t="str">
        <x:v>DG-EM-046</x:v>
      </x:c>
      <x:c r="B47" s="12" t="str"/>
      <x:c r="C47" s="12" t="str">
        <x:v>Emerald Collection</x:v>
      </x:c>
      <x:c r="D47" s="12" t="str">
        <x:v>Esmeraldas</x:v>
      </x:c>
      <x:c r="E47" s="12" t="str">
        <x:v>Berilo</x:v>
      </x:c>
      <x:c r="F47" s="12" t="str">
        <x:v>Esmeralda</x:v>
      </x:c>
      <x:c r="G47" s="12" t="str">
        <x:v>Gema individual</x:v>
      </x:c>
      <x:c r="H47" s="18" t="n">
        <x:v>1</x:v>
      </x:c>
      <x:c r="I47" s="12" t="str">
        <x:v>Gota</x:v>
      </x:c>
      <x:c r="J47" s="12" t="str">
        <x:v>11 x 7 x 2,5</x:v>
      </x:c>
      <x:c r="K47" s="14" t="n">
        <x:v>1.05</x:v>
      </x:c>
      <x:c r="L47" s="12" t="str">
        <x:v>Sim</x:v>
      </x:c>
      <x:c r="M47" s="12" t="str">
        <x:v>Balança / informado</x:v>
      </x:c>
      <x:c r="N47" s="12" t="str">
        <x:v>Verde médio</x:v>
      </x:c>
      <x:c r="O47" s="12" t="str">
        <x:v>Semi-transparente a translúcida</x:v>
      </x:c>
      <x:c r="P47" s="12" t="str"/>
      <x:c r="Q47" s="12" t="str">
        <x:v>Não avaliado / não informado</x:v>
      </x:c>
      <x:c r="R47" s="12" t="str">
        <x:v>Não</x:v>
      </x:c>
      <x:c r="S47" s="12" t="str"/>
      <x:c r="T47" s="12" t="str"/>
      <x:c r="U47" s="20"/>
      <x:c r="V47" s="20"/>
      <x:c r="W47" s="20"/>
      <x:c r="X47" s="20"/>
      <x:c r="Y47" s="20"/>
      <x:c r="Z47" s="20"/>
      <x:c r="AA47" s="20"/>
      <x:c r="AB47" s="12" t="str">
        <x:v>Pendente de precificação individual</x:v>
      </x:c>
      <x:c r="AC47" s="16" t="n">
        <x:v>8</x:v>
      </x:c>
      <x:c r="AD47" s="12" t="str">
        <x:v>B+</x:v>
      </x:c>
      <x:c r="AE47" s="12" t="str">
        <x:v>A definir</x:v>
      </x:c>
      <x:c r="AF47" s="12" t="str">
        <x:v>Pingente / anel delicado</x:v>
      </x:c>
      <x:c r="AG47" s="12" t="str">
        <x:v>Pingente / anel delicado</x:v>
      </x:c>
      <x:c r="AH47" s="12" t="str">
        <x:v>Coleção</x:v>
      </x:c>
      <x:c r="AI47" s="12" t="str"/>
      <x:c r="AJ47" s="12" t="str"/>
      <x:c r="AK47" s="12" t="str"/>
      <x:c r="AL47" s="12" t="str"/>
      <x:c r="AM47" s="12" t="str">
        <x:v>Não informado</x:v>
      </x:c>
      <x:c r="AN47" s="12" t="str"/>
      <x:c r="AO47" s="12" t="str">
        <x:v>2026-07-01</x:v>
      </x:c>
      <x:c r="AP47" s="12" t="str">
        <x:v>2026-07-19</x:v>
      </x:c>
      <x:c r="AQ47" s="12" t="str">
        <x:v>Alta</x:v>
      </x:c>
      <x:c r="AR47" s="12" t="str">
        <x:v>Inventário mestre completo atualizado em 2026-07-01</x:v>
      </x:c>
      <x:c r="AS47" s="12" t="str">
        <x:v>Precificação individual pendente</x:v>
      </x:c>
      <x:c r="AT47" s="12" t="str">
        <x:v>Avaliação visual; tratamentos não avaliados; confirmar naturalidade/tratamento em laboratório.</x:v>
      </x:c>
    </x:row>
    <x:row r="48">
      <x:c r="A48" s="12" t="str">
        <x:v>DG-EM-047</x:v>
      </x:c>
      <x:c r="B48" s="12" t="str"/>
      <x:c r="C48" s="12" t="str">
        <x:v>Emerald Collection</x:v>
      </x:c>
      <x:c r="D48" s="12" t="str">
        <x:v>Esmeraldas</x:v>
      </x:c>
      <x:c r="E48" s="12" t="str">
        <x:v>Berilo</x:v>
      </x:c>
      <x:c r="F48" s="12" t="str">
        <x:v>Esmeralda</x:v>
      </x:c>
      <x:c r="G48" s="12" t="str">
        <x:v>Gema individual</x:v>
      </x:c>
      <x:c r="H48" s="18" t="n">
        <x:v>1</x:v>
      </x:c>
      <x:c r="I48" s="12" t="str">
        <x:v>Gota</x:v>
      </x:c>
      <x:c r="J48" s="12" t="str">
        <x:v>9 x 7 x 3</x:v>
      </x:c>
      <x:c r="K48" s="14" t="n">
        <x:v>1.145</x:v>
      </x:c>
      <x:c r="L48" s="12" t="str">
        <x:v>Sim</x:v>
      </x:c>
      <x:c r="M48" s="12" t="str">
        <x:v>Balança / informado</x:v>
      </x:c>
      <x:c r="N48" s="12" t="str">
        <x:v>Verde médio</x:v>
      </x:c>
      <x:c r="O48" s="12" t="str">
        <x:v>Semi-transparente a translúcida</x:v>
      </x:c>
      <x:c r="P48" s="12" t="str"/>
      <x:c r="Q48" s="12" t="str">
        <x:v>Não avaliado / não informado</x:v>
      </x:c>
      <x:c r="R48" s="12" t="str">
        <x:v>Não</x:v>
      </x:c>
      <x:c r="S48" s="12" t="str"/>
      <x:c r="T48" s="12" t="str"/>
      <x:c r="U48" s="20"/>
      <x:c r="V48" s="20"/>
      <x:c r="W48" s="20"/>
      <x:c r="X48" s="20"/>
      <x:c r="Y48" s="20"/>
      <x:c r="Z48" s="20"/>
      <x:c r="AA48" s="20"/>
      <x:c r="AB48" s="12" t="str">
        <x:v>Pendente de precificação individual</x:v>
      </x:c>
      <x:c r="AC48" s="16" t="n">
        <x:v>8</x:v>
      </x:c>
      <x:c r="AD48" s="12" t="str">
        <x:v>B+</x:v>
      </x:c>
      <x:c r="AE48" s="12" t="str">
        <x:v>A definir</x:v>
      </x:c>
      <x:c r="AF48" s="12" t="str">
        <x:v>Pingente / anel delicado</x:v>
      </x:c>
      <x:c r="AG48" s="12" t="str">
        <x:v>Pingente / anel delicado</x:v>
      </x:c>
      <x:c r="AH48" s="12" t="str">
        <x:v>Coleção</x:v>
      </x:c>
      <x:c r="AI48" s="12" t="str"/>
      <x:c r="AJ48" s="12" t="str"/>
      <x:c r="AK48" s="12" t="str"/>
      <x:c r="AL48" s="12" t="str"/>
      <x:c r="AM48" s="12" t="str">
        <x:v>Não informado</x:v>
      </x:c>
      <x:c r="AN48" s="12" t="str"/>
      <x:c r="AO48" s="12" t="str">
        <x:v>2026-07-01</x:v>
      </x:c>
      <x:c r="AP48" s="12" t="str">
        <x:v>2026-07-19</x:v>
      </x:c>
      <x:c r="AQ48" s="12" t="str">
        <x:v>Alta</x:v>
      </x:c>
      <x:c r="AR48" s="12" t="str">
        <x:v>Inventário mestre completo atualizado em 2026-07-01</x:v>
      </x:c>
      <x:c r="AS48" s="12" t="str">
        <x:v>Precificação individual pendente</x:v>
      </x:c>
      <x:c r="AT48" s="12" t="str">
        <x:v>Avaliação visual; tratamentos não avaliados; confirmar naturalidade/tratamento em laboratório.</x:v>
      </x:c>
    </x:row>
    <x:row r="49">
      <x:c r="A49" s="12" t="str">
        <x:v>DG-EM-048</x:v>
      </x:c>
      <x:c r="B49" s="12" t="str"/>
      <x:c r="C49" s="12" t="str">
        <x:v>Emerald Collection</x:v>
      </x:c>
      <x:c r="D49" s="12" t="str">
        <x:v>Esmeraldas</x:v>
      </x:c>
      <x:c r="E49" s="12" t="str">
        <x:v>Berilo</x:v>
      </x:c>
      <x:c r="F49" s="12" t="str">
        <x:v>Esmeralda</x:v>
      </x:c>
      <x:c r="G49" s="12" t="str">
        <x:v>Gema individual</x:v>
      </x:c>
      <x:c r="H49" s="18" t="n">
        <x:v>1</x:v>
      </x:c>
      <x:c r="I49" s="12" t="str">
        <x:v>Gota</x:v>
      </x:c>
      <x:c r="J49" s="12" t="str">
        <x:v>9 x 6 x 3</x:v>
      </x:c>
      <x:c r="K49" s="14" t="n">
        <x:v>0.975</x:v>
      </x:c>
      <x:c r="L49" s="12" t="str">
        <x:v>Sim</x:v>
      </x:c>
      <x:c r="M49" s="12" t="str">
        <x:v>Balança / informado</x:v>
      </x:c>
      <x:c r="N49" s="12" t="str">
        <x:v>Verde médio</x:v>
      </x:c>
      <x:c r="O49" s="12" t="str">
        <x:v>Semi-transparente a translúcida</x:v>
      </x:c>
      <x:c r="P49" s="12" t="str"/>
      <x:c r="Q49" s="12" t="str">
        <x:v>Não avaliado / não informado</x:v>
      </x:c>
      <x:c r="R49" s="12" t="str">
        <x:v>Não</x:v>
      </x:c>
      <x:c r="S49" s="12" t="str"/>
      <x:c r="T49" s="12" t="str"/>
      <x:c r="U49" s="20"/>
      <x:c r="V49" s="20"/>
      <x:c r="W49" s="20"/>
      <x:c r="X49" s="20"/>
      <x:c r="Y49" s="20"/>
      <x:c r="Z49" s="20"/>
      <x:c r="AA49" s="20"/>
      <x:c r="AB49" s="12" t="str">
        <x:v>Pendente de precificação individual</x:v>
      </x:c>
      <x:c r="AC49" s="16" t="n">
        <x:v>8</x:v>
      </x:c>
      <x:c r="AD49" s="12" t="str">
        <x:v>B+</x:v>
      </x:c>
      <x:c r="AE49" s="12" t="str">
        <x:v>A definir</x:v>
      </x:c>
      <x:c r="AF49" s="12" t="str">
        <x:v>Pingente / brinco / anel delicado</x:v>
      </x:c>
      <x:c r="AG49" s="12" t="str">
        <x:v>Pingente / brinco / anel delicado</x:v>
      </x:c>
      <x:c r="AH49" s="12" t="str">
        <x:v>Coleção</x:v>
      </x:c>
      <x:c r="AI49" s="12" t="str"/>
      <x:c r="AJ49" s="12" t="str"/>
      <x:c r="AK49" s="12" t="str"/>
      <x:c r="AL49" s="12" t="str"/>
      <x:c r="AM49" s="12" t="str">
        <x:v>Não informado</x:v>
      </x:c>
      <x:c r="AN49" s="12" t="str"/>
      <x:c r="AO49" s="12" t="str">
        <x:v>2026-07-01</x:v>
      </x:c>
      <x:c r="AP49" s="12" t="str">
        <x:v>2026-07-19</x:v>
      </x:c>
      <x:c r="AQ49" s="12" t="str">
        <x:v>Alta</x:v>
      </x:c>
      <x:c r="AR49" s="12" t="str">
        <x:v>Inventário mestre completo atualizado em 2026-07-01</x:v>
      </x:c>
      <x:c r="AS49" s="12" t="str">
        <x:v>Precificação individual pendente</x:v>
      </x:c>
      <x:c r="AT49" s="12" t="str">
        <x:v>Avaliação visual; tratamentos não avaliados; confirmar naturalidade/tratamento em laboratório.</x:v>
      </x:c>
    </x:row>
    <x:row r="50">
      <x:c r="A50" s="12" t="str">
        <x:v>DG-EM-049</x:v>
      </x:c>
      <x:c r="B50" s="12" t="str"/>
      <x:c r="C50" s="12" t="str">
        <x:v>Emerald Collection</x:v>
      </x:c>
      <x:c r="D50" s="12" t="str">
        <x:v>Esmeraldas</x:v>
      </x:c>
      <x:c r="E50" s="12" t="str">
        <x:v>Berilo</x:v>
      </x:c>
      <x:c r="F50" s="12" t="str">
        <x:v>Esmeralda</x:v>
      </x:c>
      <x:c r="G50" s="12" t="str">
        <x:v>Gema individual</x:v>
      </x:c>
      <x:c r="H50" s="18" t="n">
        <x:v>1</x:v>
      </x:c>
      <x:c r="I50" s="12" t="str">
        <x:v>Gota</x:v>
      </x:c>
      <x:c r="J50" s="12" t="str">
        <x:v>9 x 6 x 3</x:v>
      </x:c>
      <x:c r="K50" s="14" t="n">
        <x:v>0.695</x:v>
      </x:c>
      <x:c r="L50" s="12" t="str">
        <x:v>Sim</x:v>
      </x:c>
      <x:c r="M50" s="12" t="str">
        <x:v>Balança / informado</x:v>
      </x:c>
      <x:c r="N50" s="12" t="str">
        <x:v>Verde intenso</x:v>
      </x:c>
      <x:c r="O50" s="12" t="str">
        <x:v>Semi-transparente a translúcida</x:v>
      </x:c>
      <x:c r="P50" s="12" t="str"/>
      <x:c r="Q50" s="12" t="str">
        <x:v>Não avaliado / não informado</x:v>
      </x:c>
      <x:c r="R50" s="12" t="str">
        <x:v>Não</x:v>
      </x:c>
      <x:c r="S50" s="12" t="str"/>
      <x:c r="T50" s="12" t="str"/>
      <x:c r="U50" s="20"/>
      <x:c r="V50" s="20"/>
      <x:c r="W50" s="20"/>
      <x:c r="X50" s="20"/>
      <x:c r="Y50" s="20"/>
      <x:c r="Z50" s="20"/>
      <x:c r="AA50" s="20"/>
      <x:c r="AB50" s="12" t="str">
        <x:v>Pendente de precificação individual</x:v>
      </x:c>
      <x:c r="AC50" s="16" t="n">
        <x:v>8</x:v>
      </x:c>
      <x:c r="AD50" s="12" t="str">
        <x:v>B+</x:v>
      </x:c>
      <x:c r="AE50" s="12" t="str">
        <x:v>A definir</x:v>
      </x:c>
      <x:c r="AF50" s="12" t="str">
        <x:v>Pingente pequeno / brinco</x:v>
      </x:c>
      <x:c r="AG50" s="12" t="str">
        <x:v>Pingente pequeno / brinco</x:v>
      </x:c>
      <x:c r="AH50" s="12" t="str">
        <x:v>Coleção</x:v>
      </x:c>
      <x:c r="AI50" s="12" t="str"/>
      <x:c r="AJ50" s="12" t="str"/>
      <x:c r="AK50" s="12" t="str"/>
      <x:c r="AL50" s="12" t="str"/>
      <x:c r="AM50" s="12" t="str">
        <x:v>Não informado</x:v>
      </x:c>
      <x:c r="AN50" s="12" t="str"/>
      <x:c r="AO50" s="12" t="str">
        <x:v>2026-07-01</x:v>
      </x:c>
      <x:c r="AP50" s="12" t="str">
        <x:v>2026-07-19</x:v>
      </x:c>
      <x:c r="AQ50" s="12" t="str">
        <x:v>Alta</x:v>
      </x:c>
      <x:c r="AR50" s="12" t="str">
        <x:v>Inventário mestre completo atualizado em 2026-07-01</x:v>
      </x:c>
      <x:c r="AS50" s="12" t="str">
        <x:v>Precificação individual pendente</x:v>
      </x:c>
      <x:c r="AT50" s="12" t="str">
        <x:v>Avaliação visual; tratamentos não avaliados; confirmar naturalidade/tratamento em laboratório.</x:v>
      </x:c>
    </x:row>
    <x:row r="51">
      <x:c r="A51" s="12" t="str">
        <x:v>DG-EM-050</x:v>
      </x:c>
      <x:c r="B51" s="12" t="str"/>
      <x:c r="C51" s="12" t="str">
        <x:v>Emerald Collection</x:v>
      </x:c>
      <x:c r="D51" s="12" t="str">
        <x:v>Esmeraldas</x:v>
      </x:c>
      <x:c r="E51" s="12" t="str">
        <x:v>Berilo</x:v>
      </x:c>
      <x:c r="F51" s="12" t="str">
        <x:v>Esmeralda</x:v>
      </x:c>
      <x:c r="G51" s="12" t="str">
        <x:v>Gema individual</x:v>
      </x:c>
      <x:c r="H51" s="18" t="n">
        <x:v>1</x:v>
      </x:c>
      <x:c r="I51" s="12" t="str">
        <x:v>Gota</x:v>
      </x:c>
      <x:c r="J51" s="12" t="str">
        <x:v>11 x 6 x 4</x:v>
      </x:c>
      <x:c r="K51" s="14" t="n">
        <x:v>1.105</x:v>
      </x:c>
      <x:c r="L51" s="12" t="str">
        <x:v>Sim</x:v>
      </x:c>
      <x:c r="M51" s="12" t="str">
        <x:v>Balança / informado</x:v>
      </x:c>
      <x:c r="N51" s="12" t="str">
        <x:v>Verde claro a médio</x:v>
      </x:c>
      <x:c r="O51" s="12" t="str">
        <x:v>Semi-transparente a translúcida</x:v>
      </x:c>
      <x:c r="P51" s="12" t="str"/>
      <x:c r="Q51" s="12" t="str">
        <x:v>Não avaliado / não informado</x:v>
      </x:c>
      <x:c r="R51" s="12" t="str">
        <x:v>Não</x:v>
      </x:c>
      <x:c r="S51" s="12" t="str"/>
      <x:c r="T51" s="12" t="str"/>
      <x:c r="U51" s="20"/>
      <x:c r="V51" s="20"/>
      <x:c r="W51" s="20"/>
      <x:c r="X51" s="20"/>
      <x:c r="Y51" s="20"/>
      <x:c r="Z51" s="20"/>
      <x:c r="AA51" s="20"/>
      <x:c r="AB51" s="12" t="str">
        <x:v>Pendente de precificação individual</x:v>
      </x:c>
      <x:c r="AC51" s="16" t="n">
        <x:v>8</x:v>
      </x:c>
      <x:c r="AD51" s="12" t="str">
        <x:v>B+</x:v>
      </x:c>
      <x:c r="AE51" s="12" t="str">
        <x:v>A definir</x:v>
      </x:c>
      <x:c r="AF51" s="12" t="str">
        <x:v>Pingente / anel delicado</x:v>
      </x:c>
      <x:c r="AG51" s="12" t="str">
        <x:v>Pingente / anel delicado</x:v>
      </x:c>
      <x:c r="AH51" s="12" t="str">
        <x:v>Coleção</x:v>
      </x:c>
      <x:c r="AI51" s="12" t="str"/>
      <x:c r="AJ51" s="12" t="str"/>
      <x:c r="AK51" s="12" t="str"/>
      <x:c r="AL51" s="12" t="str"/>
      <x:c r="AM51" s="12" t="str">
        <x:v>Não informado</x:v>
      </x:c>
      <x:c r="AN51" s="12" t="str"/>
      <x:c r="AO51" s="12" t="str">
        <x:v>2026-07-01</x:v>
      </x:c>
      <x:c r="AP51" s="12" t="str">
        <x:v>2026-07-19</x:v>
      </x:c>
      <x:c r="AQ51" s="12" t="str">
        <x:v>Alta</x:v>
      </x:c>
      <x:c r="AR51" s="12" t="str">
        <x:v>Inventário mestre completo atualizado em 2026-07-01</x:v>
      </x:c>
      <x:c r="AS51" s="12" t="str">
        <x:v>Precificação individual pendente</x:v>
      </x:c>
      <x:c r="AT51" s="12" t="str">
        <x:v>Avaliação visual; tratamentos não avaliados; confirmar naturalidade/tratamento em laboratório.</x:v>
      </x:c>
    </x:row>
    <x:row r="52">
      <x:c r="A52" s="12" t="str">
        <x:v>DG-EM-051</x:v>
      </x:c>
      <x:c r="B52" s="12" t="str"/>
      <x:c r="C52" s="12" t="str">
        <x:v>Emerald Collection</x:v>
      </x:c>
      <x:c r="D52" s="12" t="str">
        <x:v>Esmeraldas</x:v>
      </x:c>
      <x:c r="E52" s="12" t="str">
        <x:v>Berilo</x:v>
      </x:c>
      <x:c r="F52" s="12" t="str">
        <x:v>Esmeralda</x:v>
      </x:c>
      <x:c r="G52" s="12" t="str">
        <x:v>Gema individual</x:v>
      </x:c>
      <x:c r="H52" s="18" t="n">
        <x:v>1</x:v>
      </x:c>
      <x:c r="I52" s="12" t="str">
        <x:v>Gota</x:v>
      </x:c>
      <x:c r="J52" s="12" t="str">
        <x:v>10 x 5 x 3</x:v>
      </x:c>
      <x:c r="K52" s="14" t="n">
        <x:v>0.905</x:v>
      </x:c>
      <x:c r="L52" s="12" t="str">
        <x:v>Sim</x:v>
      </x:c>
      <x:c r="M52" s="12" t="str">
        <x:v>Balança / informado</x:v>
      </x:c>
      <x:c r="N52" s="12" t="str">
        <x:v>Verde intenso</x:v>
      </x:c>
      <x:c r="O52" s="12" t="str">
        <x:v>Semi-transparente a translúcida</x:v>
      </x:c>
      <x:c r="P52" s="12" t="str"/>
      <x:c r="Q52" s="12" t="str">
        <x:v>Não avaliado / não informado</x:v>
      </x:c>
      <x:c r="R52" s="12" t="str">
        <x:v>Não</x:v>
      </x:c>
      <x:c r="S52" s="12" t="str"/>
      <x:c r="T52" s="12" t="str"/>
      <x:c r="U52" s="20"/>
      <x:c r="V52" s="20"/>
      <x:c r="W52" s="20"/>
      <x:c r="X52" s="20"/>
      <x:c r="Y52" s="20"/>
      <x:c r="Z52" s="20"/>
      <x:c r="AA52" s="20"/>
      <x:c r="AB52" s="12" t="str">
        <x:v>Pendente de precificação individual</x:v>
      </x:c>
      <x:c r="AC52" s="16" t="n">
        <x:v>8</x:v>
      </x:c>
      <x:c r="AD52" s="12" t="str">
        <x:v>B+</x:v>
      </x:c>
      <x:c r="AE52" s="12" t="str">
        <x:v>A definir</x:v>
      </x:c>
      <x:c r="AF52" s="12" t="str">
        <x:v>Pingente pequeno / brinco</x:v>
      </x:c>
      <x:c r="AG52" s="12" t="str">
        <x:v>Pingente pequeno / brinco</x:v>
      </x:c>
      <x:c r="AH52" s="12" t="str">
        <x:v>Coleção</x:v>
      </x:c>
      <x:c r="AI52" s="12" t="str"/>
      <x:c r="AJ52" s="12" t="str"/>
      <x:c r="AK52" s="12" t="str"/>
      <x:c r="AL52" s="12" t="str"/>
      <x:c r="AM52" s="12" t="str">
        <x:v>Não informado</x:v>
      </x:c>
      <x:c r="AN52" s="12" t="str"/>
      <x:c r="AO52" s="12" t="str">
        <x:v>2026-07-01</x:v>
      </x:c>
      <x:c r="AP52" s="12" t="str">
        <x:v>2026-07-19</x:v>
      </x:c>
      <x:c r="AQ52" s="12" t="str">
        <x:v>Alta</x:v>
      </x:c>
      <x:c r="AR52" s="12" t="str">
        <x:v>Inventário mestre completo atualizado em 2026-07-01</x:v>
      </x:c>
      <x:c r="AS52" s="12" t="str">
        <x:v>Precificação individual pendente</x:v>
      </x:c>
      <x:c r="AT52" s="12" t="str">
        <x:v>Avaliação visual; tratamentos não avaliados; confirmar naturalidade/tratamento em laboratório.</x:v>
      </x:c>
    </x:row>
    <x:row r="53">
      <x:c r="A53" s="12" t="str">
        <x:v>DG-EM-052</x:v>
      </x:c>
      <x:c r="B53" s="12" t="str"/>
      <x:c r="C53" s="12" t="str">
        <x:v>Emerald Collection</x:v>
      </x:c>
      <x:c r="D53" s="12" t="str">
        <x:v>Esmeraldas</x:v>
      </x:c>
      <x:c r="E53" s="12" t="str">
        <x:v>Berilo</x:v>
      </x:c>
      <x:c r="F53" s="12" t="str">
        <x:v>Esmeralda</x:v>
      </x:c>
      <x:c r="G53" s="12" t="str">
        <x:v>Gema individual</x:v>
      </x:c>
      <x:c r="H53" s="18" t="n">
        <x:v>1</x:v>
      </x:c>
      <x:c r="I53" s="12" t="str">
        <x:v>Oval</x:v>
      </x:c>
      <x:c r="J53" s="12" t="str">
        <x:v>9 x 7 x 3</x:v>
      </x:c>
      <x:c r="K53" s="14" t="n">
        <x:v>1.43</x:v>
      </x:c>
      <x:c r="L53" s="12" t="str">
        <x:v>Sim</x:v>
      </x:c>
      <x:c r="M53" s="12" t="str">
        <x:v>Balança / informado</x:v>
      </x:c>
      <x:c r="N53" s="12" t="str">
        <x:v>Verde médio a intenso</x:v>
      </x:c>
      <x:c r="O53" s="12" t="str">
        <x:v>Semi-transparente a translúcida</x:v>
      </x:c>
      <x:c r="P53" s="12" t="str"/>
      <x:c r="Q53" s="12" t="str">
        <x:v>Não avaliado / não informado</x:v>
      </x:c>
      <x:c r="R53" s="12" t="str">
        <x:v>Não</x:v>
      </x:c>
      <x:c r="S53" s="12" t="str"/>
      <x:c r="T53" s="12" t="str"/>
      <x:c r="U53" s="20"/>
      <x:c r="V53" s="20"/>
      <x:c r="W53" s="20"/>
      <x:c r="X53" s="20"/>
      <x:c r="Y53" s="20"/>
      <x:c r="Z53" s="20"/>
      <x:c r="AA53" s="20"/>
      <x:c r="AB53" s="12" t="str">
        <x:v>Pendente de precificação individual</x:v>
      </x:c>
      <x:c r="AC53" s="16" t="n">
        <x:v>8.1</x:v>
      </x:c>
      <x:c r="AD53" s="12" t="str">
        <x:v>B+</x:v>
      </x:c>
      <x:c r="AE53" s="12" t="str">
        <x:v>A definir</x:v>
      </x:c>
      <x:c r="AF53" s="12" t="str">
        <x:v>Anel / pingente / brincos</x:v>
      </x:c>
      <x:c r="AG53" s="12" t="str">
        <x:v>Anel / pingente / brincos</x:v>
      </x:c>
      <x:c r="AH53" s="12" t="str">
        <x:v>Coleção</x:v>
      </x:c>
      <x:c r="AI53" s="12" t="str"/>
      <x:c r="AJ53" s="12" t="str"/>
      <x:c r="AK53" s="12" t="str"/>
      <x:c r="AL53" s="12" t="str"/>
      <x:c r="AM53" s="12" t="str">
        <x:v>Não informado</x:v>
      </x:c>
      <x:c r="AN53" s="12" t="str"/>
      <x:c r="AO53" s="12" t="str">
        <x:v>2026-07-01</x:v>
      </x:c>
      <x:c r="AP53" s="12" t="str">
        <x:v>2026-07-19</x:v>
      </x:c>
      <x:c r="AQ53" s="12" t="str">
        <x:v>Alta</x:v>
      </x:c>
      <x:c r="AR53" s="12" t="str">
        <x:v>Inventário mestre completo atualizado em 2026-07-01</x:v>
      </x:c>
      <x:c r="AS53" s="12" t="str">
        <x:v>Precificação individual pendente</x:v>
      </x:c>
      <x:c r="AT53" s="12" t="str">
        <x:v>Avaliação visual; tratamentos não avaliados; confirmar naturalidade/tratamento em laboratório.</x:v>
      </x:c>
    </x:row>
    <x:row r="54">
      <x:c r="A54" s="12" t="str">
        <x:v>DG-EM-053</x:v>
      </x:c>
      <x:c r="B54" s="12" t="str"/>
      <x:c r="C54" s="12" t="str">
        <x:v>Emerald Collection</x:v>
      </x:c>
      <x:c r="D54" s="12" t="str">
        <x:v>Esmeraldas</x:v>
      </x:c>
      <x:c r="E54" s="12" t="str">
        <x:v>Berilo</x:v>
      </x:c>
      <x:c r="F54" s="12" t="str">
        <x:v>Esmeralda</x:v>
      </x:c>
      <x:c r="G54" s="12" t="str">
        <x:v>Gema individual</x:v>
      </x:c>
      <x:c r="H54" s="18" t="n">
        <x:v>1</x:v>
      </x:c>
      <x:c r="I54" s="12" t="str">
        <x:v>Oval</x:v>
      </x:c>
      <x:c r="J54" s="12" t="str">
        <x:v>8 x 7 x 4</x:v>
      </x:c>
      <x:c r="K54" s="14" t="n">
        <x:v>1</x:v>
      </x:c>
      <x:c r="L54" s="12" t="str">
        <x:v>Sim</x:v>
      </x:c>
      <x:c r="M54" s="12" t="str">
        <x:v>Balança / informado</x:v>
      </x:c>
      <x:c r="N54" s="12" t="str">
        <x:v>Verde intenso</x:v>
      </x:c>
      <x:c r="O54" s="12" t="str">
        <x:v>Semi-transparente a translúcida</x:v>
      </x:c>
      <x:c r="P54" s="12" t="str"/>
      <x:c r="Q54" s="12" t="str">
        <x:v>Não avaliado / não informado</x:v>
      </x:c>
      <x:c r="R54" s="12" t="str">
        <x:v>Não</x:v>
      </x:c>
      <x:c r="S54" s="12" t="str"/>
      <x:c r="T54" s="12" t="str"/>
      <x:c r="U54" s="20"/>
      <x:c r="V54" s="20"/>
      <x:c r="W54" s="20"/>
      <x:c r="X54" s="20"/>
      <x:c r="Y54" s="20"/>
      <x:c r="Z54" s="20"/>
      <x:c r="AA54" s="20"/>
      <x:c r="AB54" s="12" t="str">
        <x:v>Pendente de precificação individual</x:v>
      </x:c>
      <x:c r="AC54" s="16" t="n">
        <x:v>8.1</x:v>
      </x:c>
      <x:c r="AD54" s="12" t="str">
        <x:v>B+</x:v>
      </x:c>
      <x:c r="AE54" s="12" t="str">
        <x:v>A definir</x:v>
      </x:c>
      <x:c r="AF54" s="12" t="str">
        <x:v>Anel delicado / brinco</x:v>
      </x:c>
      <x:c r="AG54" s="12" t="str">
        <x:v>Anel delicado / brinco</x:v>
      </x:c>
      <x:c r="AH54" s="12" t="str">
        <x:v>Coleção</x:v>
      </x:c>
      <x:c r="AI54" s="12" t="str"/>
      <x:c r="AJ54" s="12" t="str"/>
      <x:c r="AK54" s="12" t="str"/>
      <x:c r="AL54" s="12" t="str"/>
      <x:c r="AM54" s="12" t="str">
        <x:v>Não informado</x:v>
      </x:c>
      <x:c r="AN54" s="12" t="str"/>
      <x:c r="AO54" s="12" t="str">
        <x:v>2026-07-01</x:v>
      </x:c>
      <x:c r="AP54" s="12" t="str">
        <x:v>2026-07-19</x:v>
      </x:c>
      <x:c r="AQ54" s="12" t="str">
        <x:v>Alta</x:v>
      </x:c>
      <x:c r="AR54" s="12" t="str">
        <x:v>Inventário mestre completo atualizado em 2026-07-01</x:v>
      </x:c>
      <x:c r="AS54" s="12" t="str">
        <x:v>Precificação individual pendente</x:v>
      </x:c>
      <x:c r="AT54" s="12" t="str">
        <x:v>Avaliação visual; tratamentos não avaliados; confirmar naturalidade/tratamento em laboratório.</x:v>
      </x:c>
    </x:row>
    <x:row r="55">
      <x:c r="A55" s="12" t="str">
        <x:v>DG-EM-054</x:v>
      </x:c>
      <x:c r="B55" s="12" t="str"/>
      <x:c r="C55" s="12" t="str">
        <x:v>Emerald Collection</x:v>
      </x:c>
      <x:c r="D55" s="12" t="str">
        <x:v>Esmeraldas</x:v>
      </x:c>
      <x:c r="E55" s="12" t="str">
        <x:v>Berilo</x:v>
      </x:c>
      <x:c r="F55" s="12" t="str">
        <x:v>Esmeralda</x:v>
      </x:c>
      <x:c r="G55" s="12" t="str">
        <x:v>Gema individual</x:v>
      </x:c>
      <x:c r="H55" s="18" t="n">
        <x:v>1</x:v>
      </x:c>
      <x:c r="I55" s="12" t="str">
        <x:v>Oval</x:v>
      </x:c>
      <x:c r="J55" s="12" t="str">
        <x:v>8 x 6 x 3</x:v>
      </x:c>
      <x:c r="K55" s="14" t="n">
        <x:v>0.88</x:v>
      </x:c>
      <x:c r="L55" s="12" t="str">
        <x:v>Sim</x:v>
      </x:c>
      <x:c r="M55" s="12" t="str">
        <x:v>Balança / informado</x:v>
      </x:c>
      <x:c r="N55" s="12" t="str">
        <x:v>Verde médio a intenso</x:v>
      </x:c>
      <x:c r="O55" s="12" t="str">
        <x:v>Semi-transparente a translúcida</x:v>
      </x:c>
      <x:c r="P55" s="12" t="str"/>
      <x:c r="Q55" s="12" t="str">
        <x:v>Não avaliado / não informado</x:v>
      </x:c>
      <x:c r="R55" s="12" t="str">
        <x:v>Não</x:v>
      </x:c>
      <x:c r="S55" s="12" t="str"/>
      <x:c r="T55" s="12" t="str"/>
      <x:c r="U55" s="20"/>
      <x:c r="V55" s="20"/>
      <x:c r="W55" s="20"/>
      <x:c r="X55" s="20"/>
      <x:c r="Y55" s="20"/>
      <x:c r="Z55" s="20"/>
      <x:c r="AA55" s="20"/>
      <x:c r="AB55" s="12" t="str">
        <x:v>Pendente de precificação individual</x:v>
      </x:c>
      <x:c r="AC55" s="16" t="n">
        <x:v>8</x:v>
      </x:c>
      <x:c r="AD55" s="12" t="str">
        <x:v>B+</x:v>
      </x:c>
      <x:c r="AE55" s="12" t="str">
        <x:v>A definir</x:v>
      </x:c>
      <x:c r="AF55" s="12" t="str">
        <x:v>Anel delicado / brinco</x:v>
      </x:c>
      <x:c r="AG55" s="12" t="str">
        <x:v>Anel delicado / brinco</x:v>
      </x:c>
      <x:c r="AH55" s="12" t="str">
        <x:v>Coleção</x:v>
      </x:c>
      <x:c r="AI55" s="12" t="str"/>
      <x:c r="AJ55" s="12" t="str"/>
      <x:c r="AK55" s="12" t="str"/>
      <x:c r="AL55" s="12" t="str"/>
      <x:c r="AM55" s="12" t="str">
        <x:v>Não informado</x:v>
      </x:c>
      <x:c r="AN55" s="12" t="str"/>
      <x:c r="AO55" s="12" t="str">
        <x:v>2026-07-01</x:v>
      </x:c>
      <x:c r="AP55" s="12" t="str">
        <x:v>2026-07-19</x:v>
      </x:c>
      <x:c r="AQ55" s="12" t="str">
        <x:v>Alta</x:v>
      </x:c>
      <x:c r="AR55" s="12" t="str">
        <x:v>Inventário mestre completo atualizado em 2026-07-01</x:v>
      </x:c>
      <x:c r="AS55" s="12" t="str">
        <x:v>Precificação individual pendente</x:v>
      </x:c>
      <x:c r="AT55" s="12" t="str">
        <x:v>Avaliação visual; tratamentos não avaliados; confirmar naturalidade/tratamento em laboratório.</x:v>
      </x:c>
    </x:row>
    <x:row r="56">
      <x:c r="A56" s="12" t="str">
        <x:v>DG-EM-055</x:v>
      </x:c>
      <x:c r="B56" s="12" t="str"/>
      <x:c r="C56" s="12" t="str">
        <x:v>Emerald Collection</x:v>
      </x:c>
      <x:c r="D56" s="12" t="str">
        <x:v>Esmeraldas</x:v>
      </x:c>
      <x:c r="E56" s="12" t="str">
        <x:v>Berilo</x:v>
      </x:c>
      <x:c r="F56" s="12" t="str">
        <x:v>Esmeralda</x:v>
      </x:c>
      <x:c r="G56" s="12" t="str">
        <x:v>Gema individual</x:v>
      </x:c>
      <x:c r="H56" s="18" t="n">
        <x:v>1</x:v>
      </x:c>
      <x:c r="I56" s="12" t="str">
        <x:v>Oval</x:v>
      </x:c>
      <x:c r="J56" s="12" t="str">
        <x:v>8 x 7 x 4</x:v>
      </x:c>
      <x:c r="K56" s="14" t="n">
        <x:v>0.935</x:v>
      </x:c>
      <x:c r="L56" s="12" t="str">
        <x:v>Sim</x:v>
      </x:c>
      <x:c r="M56" s="12" t="str">
        <x:v>Balança / informado</x:v>
      </x:c>
      <x:c r="N56" s="12" t="str">
        <x:v>Verde intenso</x:v>
      </x:c>
      <x:c r="O56" s="12" t="str">
        <x:v>Semi-transparente a translúcida</x:v>
      </x:c>
      <x:c r="P56" s="12" t="str"/>
      <x:c r="Q56" s="12" t="str">
        <x:v>Não avaliado / não informado</x:v>
      </x:c>
      <x:c r="R56" s="12" t="str">
        <x:v>Não</x:v>
      </x:c>
      <x:c r="S56" s="12" t="str"/>
      <x:c r="T56" s="12" t="str"/>
      <x:c r="U56" s="20"/>
      <x:c r="V56" s="20"/>
      <x:c r="W56" s="20"/>
      <x:c r="X56" s="20"/>
      <x:c r="Y56" s="20"/>
      <x:c r="Z56" s="20"/>
      <x:c r="AA56" s="20"/>
      <x:c r="AB56" s="12" t="str">
        <x:v>Pendente de precificação individual</x:v>
      </x:c>
      <x:c r="AC56" s="16" t="n">
        <x:v>8</x:v>
      </x:c>
      <x:c r="AD56" s="12" t="str">
        <x:v>B+</x:v>
      </x:c>
      <x:c r="AE56" s="12" t="str">
        <x:v>A definir</x:v>
      </x:c>
      <x:c r="AF56" s="12" t="str">
        <x:v>Anel delicado / brinco</x:v>
      </x:c>
      <x:c r="AG56" s="12" t="str">
        <x:v>Anel delicado / brinco</x:v>
      </x:c>
      <x:c r="AH56" s="12" t="str">
        <x:v>Coleção</x:v>
      </x:c>
      <x:c r="AI56" s="12" t="str"/>
      <x:c r="AJ56" s="12" t="str"/>
      <x:c r="AK56" s="12" t="str"/>
      <x:c r="AL56" s="12" t="str"/>
      <x:c r="AM56" s="12" t="str">
        <x:v>Não informado</x:v>
      </x:c>
      <x:c r="AN56" s="12" t="str"/>
      <x:c r="AO56" s="12" t="str">
        <x:v>2026-07-01</x:v>
      </x:c>
      <x:c r="AP56" s="12" t="str">
        <x:v>2026-07-19</x:v>
      </x:c>
      <x:c r="AQ56" s="12" t="str">
        <x:v>Alta</x:v>
      </x:c>
      <x:c r="AR56" s="12" t="str">
        <x:v>Inventário mestre completo atualizado em 2026-07-01</x:v>
      </x:c>
      <x:c r="AS56" s="12" t="str">
        <x:v>Precificação individual pendente</x:v>
      </x:c>
      <x:c r="AT56" s="12" t="str">
        <x:v>Avaliação visual; tratamentos não avaliados; confirmar naturalidade/tratamento em laboratório.</x:v>
      </x:c>
    </x:row>
    <x:row r="57">
      <x:c r="A57" s="12" t="str">
        <x:v>DG-EM-056</x:v>
      </x:c>
      <x:c r="B57" s="12" t="str"/>
      <x:c r="C57" s="12" t="str">
        <x:v>Emerald Collection</x:v>
      </x:c>
      <x:c r="D57" s="12" t="str">
        <x:v>Esmeraldas</x:v>
      </x:c>
      <x:c r="E57" s="12" t="str">
        <x:v>Berilo</x:v>
      </x:c>
      <x:c r="F57" s="12" t="str">
        <x:v>Esmeralda</x:v>
      </x:c>
      <x:c r="G57" s="12" t="str">
        <x:v>Gema individual</x:v>
      </x:c>
      <x:c r="H57" s="18" t="n">
        <x:v>1</x:v>
      </x:c>
      <x:c r="I57" s="12" t="str">
        <x:v>Oval</x:v>
      </x:c>
      <x:c r="J57" s="12" t="str">
        <x:v>8 x 7 x 4</x:v>
      </x:c>
      <x:c r="K57" s="14" t="n">
        <x:v>0.965</x:v>
      </x:c>
      <x:c r="L57" s="12" t="str">
        <x:v>Sim</x:v>
      </x:c>
      <x:c r="M57" s="12" t="str">
        <x:v>Balança / informado</x:v>
      </x:c>
      <x:c r="N57" s="12" t="str">
        <x:v>Verde intenso</x:v>
      </x:c>
      <x:c r="O57" s="12" t="str">
        <x:v>Semi-transparente a translúcida</x:v>
      </x:c>
      <x:c r="P57" s="12" t="str"/>
      <x:c r="Q57" s="12" t="str">
        <x:v>Não avaliado / não informado</x:v>
      </x:c>
      <x:c r="R57" s="12" t="str">
        <x:v>Não</x:v>
      </x:c>
      <x:c r="S57" s="12" t="str"/>
      <x:c r="T57" s="12" t="str"/>
      <x:c r="U57" s="20"/>
      <x:c r="V57" s="20"/>
      <x:c r="W57" s="20"/>
      <x:c r="X57" s="20"/>
      <x:c r="Y57" s="20"/>
      <x:c r="Z57" s="20"/>
      <x:c r="AA57" s="20"/>
      <x:c r="AB57" s="12" t="str">
        <x:v>Pendente de precificação individual</x:v>
      </x:c>
      <x:c r="AC57" s="16" t="n">
        <x:v>8.1</x:v>
      </x:c>
      <x:c r="AD57" s="12" t="str">
        <x:v>B+</x:v>
      </x:c>
      <x:c r="AE57" s="12" t="str">
        <x:v>A definir</x:v>
      </x:c>
      <x:c r="AF57" s="12" t="str">
        <x:v>Anel delicado / brinco</x:v>
      </x:c>
      <x:c r="AG57" s="12" t="str">
        <x:v>Anel delicado / brinco</x:v>
      </x:c>
      <x:c r="AH57" s="12" t="str">
        <x:v>Coleção</x:v>
      </x:c>
      <x:c r="AI57" s="12" t="str"/>
      <x:c r="AJ57" s="12" t="str"/>
      <x:c r="AK57" s="12" t="str"/>
      <x:c r="AL57" s="12" t="str"/>
      <x:c r="AM57" s="12" t="str">
        <x:v>Não informado</x:v>
      </x:c>
      <x:c r="AN57" s="12" t="str"/>
      <x:c r="AO57" s="12" t="str">
        <x:v>2026-07-01</x:v>
      </x:c>
      <x:c r="AP57" s="12" t="str">
        <x:v>2026-07-19</x:v>
      </x:c>
      <x:c r="AQ57" s="12" t="str">
        <x:v>Alta</x:v>
      </x:c>
      <x:c r="AR57" s="12" t="str">
        <x:v>Inventário mestre completo atualizado em 2026-07-01</x:v>
      </x:c>
      <x:c r="AS57" s="12" t="str">
        <x:v>Precificação individual pendente</x:v>
      </x:c>
      <x:c r="AT57" s="12" t="str">
        <x:v>Avaliação visual; tratamentos não avaliados; confirmar naturalidade/tratamento em laboratório.</x:v>
      </x:c>
    </x:row>
    <x:row r="58">
      <x:c r="A58" s="12" t="str">
        <x:v>DG-EM-057</x:v>
      </x:c>
      <x:c r="B58" s="12" t="str"/>
      <x:c r="C58" s="12" t="str">
        <x:v>Emerald Collection</x:v>
      </x:c>
      <x:c r="D58" s="12" t="str">
        <x:v>Esmeraldas</x:v>
      </x:c>
      <x:c r="E58" s="12" t="str">
        <x:v>Berilo</x:v>
      </x:c>
      <x:c r="F58" s="12" t="str">
        <x:v>Esmeralda</x:v>
      </x:c>
      <x:c r="G58" s="12" t="str">
        <x:v>Gema individual</x:v>
      </x:c>
      <x:c r="H58" s="18" t="n">
        <x:v>1</x:v>
      </x:c>
      <x:c r="I58" s="12" t="str">
        <x:v>Oval</x:v>
      </x:c>
      <x:c r="J58" s="12" t="str">
        <x:v>9 x 7 x 3</x:v>
      </x:c>
      <x:c r="K58" s="14" t="n">
        <x:v>1.18</x:v>
      </x:c>
      <x:c r="L58" s="12" t="str">
        <x:v>Sim</x:v>
      </x:c>
      <x:c r="M58" s="12" t="str">
        <x:v>Balança / informado</x:v>
      </x:c>
      <x:c r="N58" s="12" t="str">
        <x:v>Verde médio a intenso</x:v>
      </x:c>
      <x:c r="O58" s="12" t="str">
        <x:v>Semi-transparente a translúcida</x:v>
      </x:c>
      <x:c r="P58" s="12" t="str"/>
      <x:c r="Q58" s="12" t="str">
        <x:v>Não avaliado / não informado</x:v>
      </x:c>
      <x:c r="R58" s="12" t="str">
        <x:v>Não</x:v>
      </x:c>
      <x:c r="S58" s="12" t="str"/>
      <x:c r="T58" s="12" t="str"/>
      <x:c r="U58" s="20"/>
      <x:c r="V58" s="20"/>
      <x:c r="W58" s="20"/>
      <x:c r="X58" s="20"/>
      <x:c r="Y58" s="20"/>
      <x:c r="Z58" s="20"/>
      <x:c r="AA58" s="20"/>
      <x:c r="AB58" s="12" t="str">
        <x:v>Pendente de precificação individual</x:v>
      </x:c>
      <x:c r="AC58" s="16" t="n">
        <x:v>8</x:v>
      </x:c>
      <x:c r="AD58" s="12" t="str">
        <x:v>B+</x:v>
      </x:c>
      <x:c r="AE58" s="12" t="str">
        <x:v>A definir</x:v>
      </x:c>
      <x:c r="AF58" s="12" t="str">
        <x:v>Anel / pingente / brincos</x:v>
      </x:c>
      <x:c r="AG58" s="12" t="str">
        <x:v>Anel / pingente / brincos</x:v>
      </x:c>
      <x:c r="AH58" s="12" t="str">
        <x:v>Coleção</x:v>
      </x:c>
      <x:c r="AI58" s="12" t="str"/>
      <x:c r="AJ58" s="12" t="str"/>
      <x:c r="AK58" s="12" t="str"/>
      <x:c r="AL58" s="12" t="str"/>
      <x:c r="AM58" s="12" t="str">
        <x:v>Não informado</x:v>
      </x:c>
      <x:c r="AN58" s="12" t="str"/>
      <x:c r="AO58" s="12" t="str">
        <x:v>2026-07-01</x:v>
      </x:c>
      <x:c r="AP58" s="12" t="str">
        <x:v>2026-07-19</x:v>
      </x:c>
      <x:c r="AQ58" s="12" t="str">
        <x:v>Alta</x:v>
      </x:c>
      <x:c r="AR58" s="12" t="str">
        <x:v>Inventário mestre completo atualizado em 2026-07-01</x:v>
      </x:c>
      <x:c r="AS58" s="12" t="str">
        <x:v>Precificação individual pendente</x:v>
      </x:c>
      <x:c r="AT58" s="12" t="str">
        <x:v>Avaliação visual; tratamentos não avaliados; confirmar naturalidade/tratamento em laboratório.</x:v>
      </x:c>
    </x:row>
    <x:row r="59">
      <x:c r="A59" s="12" t="str">
        <x:v>DG-EM-058</x:v>
      </x:c>
      <x:c r="B59" s="12" t="str"/>
      <x:c r="C59" s="12" t="str">
        <x:v>Emerald Collection</x:v>
      </x:c>
      <x:c r="D59" s="12" t="str">
        <x:v>Esmeraldas</x:v>
      </x:c>
      <x:c r="E59" s="12" t="str">
        <x:v>Berilo</x:v>
      </x:c>
      <x:c r="F59" s="12" t="str">
        <x:v>Esmeralda</x:v>
      </x:c>
      <x:c r="G59" s="12" t="str">
        <x:v>Gema individual</x:v>
      </x:c>
      <x:c r="H59" s="18" t="n">
        <x:v>1</x:v>
      </x:c>
      <x:c r="I59" s="12" t="str">
        <x:v>Oval</x:v>
      </x:c>
      <x:c r="J59" s="12" t="str">
        <x:v>10 x 7 x 3</x:v>
      </x:c>
      <x:c r="K59" s="14" t="n">
        <x:v>1.4</x:v>
      </x:c>
      <x:c r="L59" s="12" t="str">
        <x:v>Sim</x:v>
      </x:c>
      <x:c r="M59" s="12" t="str">
        <x:v>Balança / informado</x:v>
      </x:c>
      <x:c r="N59" s="12" t="str">
        <x:v>Verde médio a intenso</x:v>
      </x:c>
      <x:c r="O59" s="12" t="str">
        <x:v>Semi-transparente a translúcida</x:v>
      </x:c>
      <x:c r="P59" s="12" t="str"/>
      <x:c r="Q59" s="12" t="str">
        <x:v>Não avaliado / não informado</x:v>
      </x:c>
      <x:c r="R59" s="12" t="str">
        <x:v>Não</x:v>
      </x:c>
      <x:c r="S59" s="12" t="str"/>
      <x:c r="T59" s="12" t="str"/>
      <x:c r="U59" s="20"/>
      <x:c r="V59" s="20"/>
      <x:c r="W59" s="20"/>
      <x:c r="X59" s="20"/>
      <x:c r="Y59" s="20"/>
      <x:c r="Z59" s="20"/>
      <x:c r="AA59" s="20"/>
      <x:c r="AB59" s="12" t="str">
        <x:v>Pendente de precificação individual</x:v>
      </x:c>
      <x:c r="AC59" s="16" t="n">
        <x:v>8.1</x:v>
      </x:c>
      <x:c r="AD59" s="12" t="str">
        <x:v>B+</x:v>
      </x:c>
      <x:c r="AE59" s="12" t="str">
        <x:v>A definir</x:v>
      </x:c>
      <x:c r="AF59" s="12" t="str">
        <x:v>Anel / pingente</x:v>
      </x:c>
      <x:c r="AG59" s="12" t="str">
        <x:v>Anel / pingente</x:v>
      </x:c>
      <x:c r="AH59" s="12" t="str">
        <x:v>Coleção</x:v>
      </x:c>
      <x:c r="AI59" s="12" t="str"/>
      <x:c r="AJ59" s="12" t="str"/>
      <x:c r="AK59" s="12" t="str"/>
      <x:c r="AL59" s="12" t="str"/>
      <x:c r="AM59" s="12" t="str">
        <x:v>Não informado</x:v>
      </x:c>
      <x:c r="AN59" s="12" t="str"/>
      <x:c r="AO59" s="12" t="str">
        <x:v>2026-07-01</x:v>
      </x:c>
      <x:c r="AP59" s="12" t="str">
        <x:v>2026-07-19</x:v>
      </x:c>
      <x:c r="AQ59" s="12" t="str">
        <x:v>Alta</x:v>
      </x:c>
      <x:c r="AR59" s="12" t="str">
        <x:v>Inventário mestre completo atualizado em 2026-07-01</x:v>
      </x:c>
      <x:c r="AS59" s="12" t="str">
        <x:v>Precificação individual pendente</x:v>
      </x:c>
      <x:c r="AT59" s="12" t="str">
        <x:v>Avaliação visual; tratamentos não avaliados; confirmar naturalidade/tratamento em laboratório.</x:v>
      </x:c>
    </x:row>
    <x:row r="60">
      <x:c r="A60" s="12" t="str">
        <x:v>DG-EM-059</x:v>
      </x:c>
      <x:c r="B60" s="12" t="str"/>
      <x:c r="C60" s="12" t="str">
        <x:v>Emerald Collection</x:v>
      </x:c>
      <x:c r="D60" s="12" t="str">
        <x:v>Esmeraldas</x:v>
      </x:c>
      <x:c r="E60" s="12" t="str">
        <x:v>Berilo</x:v>
      </x:c>
      <x:c r="F60" s="12" t="str">
        <x:v>Esmeralda</x:v>
      </x:c>
      <x:c r="G60" s="12" t="str">
        <x:v>Gema individual</x:v>
      </x:c>
      <x:c r="H60" s="18" t="n">
        <x:v>1</x:v>
      </x:c>
      <x:c r="I60" s="12" t="str">
        <x:v>Oval</x:v>
      </x:c>
      <x:c r="J60" s="12" t="str">
        <x:v>8 x 6 x 4</x:v>
      </x:c>
      <x:c r="K60" s="14" t="n">
        <x:v>1.12</x:v>
      </x:c>
      <x:c r="L60" s="12" t="str">
        <x:v>Sim</x:v>
      </x:c>
      <x:c r="M60" s="12" t="str">
        <x:v>Balança / informado</x:v>
      </x:c>
      <x:c r="N60" s="12" t="str">
        <x:v>Verde médio</x:v>
      </x:c>
      <x:c r="O60" s="12" t="str">
        <x:v>Semi-transparente a translúcida</x:v>
      </x:c>
      <x:c r="P60" s="12" t="str"/>
      <x:c r="Q60" s="12" t="str">
        <x:v>Não avaliado / não informado</x:v>
      </x:c>
      <x:c r="R60" s="12" t="str">
        <x:v>Não</x:v>
      </x:c>
      <x:c r="S60" s="12" t="str"/>
      <x:c r="T60" s="12" t="str"/>
      <x:c r="U60" s="20"/>
      <x:c r="V60" s="20"/>
      <x:c r="W60" s="20"/>
      <x:c r="X60" s="20"/>
      <x:c r="Y60" s="20"/>
      <x:c r="Z60" s="20"/>
      <x:c r="AA60" s="20"/>
      <x:c r="AB60" s="12" t="str">
        <x:v>Pendente de precificação individual</x:v>
      </x:c>
      <x:c r="AC60" s="16" t="n">
        <x:v>8</x:v>
      </x:c>
      <x:c r="AD60" s="12" t="str">
        <x:v>B+</x:v>
      </x:c>
      <x:c r="AE60" s="12" t="str">
        <x:v>A definir</x:v>
      </x:c>
      <x:c r="AF60" s="12" t="str">
        <x:v>Anel / brinco / pingente</x:v>
      </x:c>
      <x:c r="AG60" s="12" t="str">
        <x:v>Anel / brinco / pingente</x:v>
      </x:c>
      <x:c r="AH60" s="12" t="str">
        <x:v>Coleção</x:v>
      </x:c>
      <x:c r="AI60" s="12" t="str"/>
      <x:c r="AJ60" s="12" t="str"/>
      <x:c r="AK60" s="12" t="str"/>
      <x:c r="AL60" s="12" t="str"/>
      <x:c r="AM60" s="12" t="str">
        <x:v>Não informado</x:v>
      </x:c>
      <x:c r="AN60" s="12" t="str"/>
      <x:c r="AO60" s="12" t="str">
        <x:v>2026-07-01</x:v>
      </x:c>
      <x:c r="AP60" s="12" t="str">
        <x:v>2026-07-19</x:v>
      </x:c>
      <x:c r="AQ60" s="12" t="str">
        <x:v>Alta</x:v>
      </x:c>
      <x:c r="AR60" s="12" t="str">
        <x:v>Inventário mestre completo atualizado em 2026-07-01</x:v>
      </x:c>
      <x:c r="AS60" s="12" t="str">
        <x:v>Precificação individual pendente</x:v>
      </x:c>
      <x:c r="AT60" s="12" t="str">
        <x:v>Avaliação visual; tratamentos não avaliados; confirmar naturalidade/tratamento em laboratório.</x:v>
      </x:c>
    </x:row>
    <x:row r="61">
      <x:c r="A61" s="12" t="str">
        <x:v>DG-EM-060</x:v>
      </x:c>
      <x:c r="B61" s="12" t="str"/>
      <x:c r="C61" s="12" t="str">
        <x:v>Emerald Collection</x:v>
      </x:c>
      <x:c r="D61" s="12" t="str">
        <x:v>Esmeraldas</x:v>
      </x:c>
      <x:c r="E61" s="12" t="str">
        <x:v>Berilo</x:v>
      </x:c>
      <x:c r="F61" s="12" t="str">
        <x:v>Esmeralda</x:v>
      </x:c>
      <x:c r="G61" s="12" t="str">
        <x:v>Gema individual</x:v>
      </x:c>
      <x:c r="H61" s="18" t="n">
        <x:v>1</x:v>
      </x:c>
      <x:c r="I61" s="12" t="str">
        <x:v>Oval</x:v>
      </x:c>
      <x:c r="J61" s="12" t="str">
        <x:v>10 x 7 x 5</x:v>
      </x:c>
      <x:c r="K61" s="14" t="n">
        <x:v>1.635</x:v>
      </x:c>
      <x:c r="L61" s="12" t="str">
        <x:v>Sim</x:v>
      </x:c>
      <x:c r="M61" s="12" t="str">
        <x:v>Balança / informado</x:v>
      </x:c>
      <x:c r="N61" s="12" t="str">
        <x:v>Verde médio a intenso</x:v>
      </x:c>
      <x:c r="O61" s="12" t="str">
        <x:v>Semi-transparente a translúcida</x:v>
      </x:c>
      <x:c r="P61" s="12" t="str"/>
      <x:c r="Q61" s="12" t="str">
        <x:v>Não avaliado / não informado</x:v>
      </x:c>
      <x:c r="R61" s="12" t="str">
        <x:v>Não</x:v>
      </x:c>
      <x:c r="S61" s="12" t="str"/>
      <x:c r="T61" s="12" t="str"/>
      <x:c r="U61" s="20"/>
      <x:c r="V61" s="20"/>
      <x:c r="W61" s="20"/>
      <x:c r="X61" s="20"/>
      <x:c r="Y61" s="20"/>
      <x:c r="Z61" s="20"/>
      <x:c r="AA61" s="20"/>
      <x:c r="AB61" s="12" t="str">
        <x:v>Pendente de precificação individual</x:v>
      </x:c>
      <x:c r="AC61" s="16" t="n">
        <x:v>8.2</x:v>
      </x:c>
      <x:c r="AD61" s="12" t="str">
        <x:v>B+</x:v>
      </x:c>
      <x:c r="AE61" s="12" t="str">
        <x:v>A definir</x:v>
      </x:c>
      <x:c r="AF61" s="12" t="str">
        <x:v>Anel / pingente</x:v>
      </x:c>
      <x:c r="AG61" s="12" t="str">
        <x:v>Anel / pingente</x:v>
      </x:c>
      <x:c r="AH61" s="12" t="str">
        <x:v>Coleção</x:v>
      </x:c>
      <x:c r="AI61" s="12" t="str"/>
      <x:c r="AJ61" s="12" t="str"/>
      <x:c r="AK61" s="12" t="str"/>
      <x:c r="AL61" s="12" t="str"/>
      <x:c r="AM61" s="12" t="str">
        <x:v>Não informado</x:v>
      </x:c>
      <x:c r="AN61" s="12" t="str"/>
      <x:c r="AO61" s="12" t="str">
        <x:v>2026-07-01</x:v>
      </x:c>
      <x:c r="AP61" s="12" t="str">
        <x:v>2026-07-19</x:v>
      </x:c>
      <x:c r="AQ61" s="12" t="str">
        <x:v>Alta</x:v>
      </x:c>
      <x:c r="AR61" s="12" t="str">
        <x:v>Inventário mestre completo atualizado em 2026-07-01</x:v>
      </x:c>
      <x:c r="AS61" s="12" t="str">
        <x:v>Precificação individual pendente</x:v>
      </x:c>
      <x:c r="AT61" s="12" t="str">
        <x:v>Avaliação visual; tratamentos não avaliados; confirmar naturalidade/tratamento em laboratório.</x:v>
      </x:c>
    </x:row>
    <x:row r="62">
      <x:c r="A62" s="12" t="str">
        <x:v>DG-EM-061</x:v>
      </x:c>
      <x:c r="B62" s="12" t="str"/>
      <x:c r="C62" s="12" t="str">
        <x:v>Emerald Collection</x:v>
      </x:c>
      <x:c r="D62" s="12" t="str">
        <x:v>Esmeraldas</x:v>
      </x:c>
      <x:c r="E62" s="12" t="str">
        <x:v>Berilo</x:v>
      </x:c>
      <x:c r="F62" s="12" t="str">
        <x:v>Esmeralda</x:v>
      </x:c>
      <x:c r="G62" s="12" t="str">
        <x:v>Gema individual</x:v>
      </x:c>
      <x:c r="H62" s="18" t="n">
        <x:v>1</x:v>
      </x:c>
      <x:c r="I62" s="12" t="str">
        <x:v>Oval</x:v>
      </x:c>
      <x:c r="J62" s="12" t="str">
        <x:v>9 x 7 x 4</x:v>
      </x:c>
      <x:c r="K62" s="14" t="n">
        <x:v>1.365</x:v>
      </x:c>
      <x:c r="L62" s="12" t="str">
        <x:v>Sim</x:v>
      </x:c>
      <x:c r="M62" s="12" t="str">
        <x:v>Balança / informado</x:v>
      </x:c>
      <x:c r="N62" s="12" t="str">
        <x:v>Verde médio</x:v>
      </x:c>
      <x:c r="O62" s="12" t="str">
        <x:v>Semi-transparente a translúcida</x:v>
      </x:c>
      <x:c r="P62" s="12" t="str"/>
      <x:c r="Q62" s="12" t="str">
        <x:v>Não avaliado / não informado</x:v>
      </x:c>
      <x:c r="R62" s="12" t="str">
        <x:v>Não</x:v>
      </x:c>
      <x:c r="S62" s="12" t="str"/>
      <x:c r="T62" s="12" t="str"/>
      <x:c r="U62" s="20"/>
      <x:c r="V62" s="20"/>
      <x:c r="W62" s="20"/>
      <x:c r="X62" s="20"/>
      <x:c r="Y62" s="20"/>
      <x:c r="Z62" s="20"/>
      <x:c r="AA62" s="20"/>
      <x:c r="AB62" s="12" t="str">
        <x:v>Pendente de precificação individual</x:v>
      </x:c>
      <x:c r="AC62" s="16" t="n">
        <x:v>8</x:v>
      </x:c>
      <x:c r="AD62" s="12" t="str">
        <x:v>B+</x:v>
      </x:c>
      <x:c r="AE62" s="12" t="str">
        <x:v>A definir</x:v>
      </x:c>
      <x:c r="AF62" s="12" t="str">
        <x:v>Anel / brinco / pingente</x:v>
      </x:c>
      <x:c r="AG62" s="12" t="str">
        <x:v>Anel / brinco / pingente</x:v>
      </x:c>
      <x:c r="AH62" s="12" t="str">
        <x:v>Coleção</x:v>
      </x:c>
      <x:c r="AI62" s="12" t="str"/>
      <x:c r="AJ62" s="12" t="str"/>
      <x:c r="AK62" s="12" t="str"/>
      <x:c r="AL62" s="12" t="str"/>
      <x:c r="AM62" s="12" t="str">
        <x:v>Não informado</x:v>
      </x:c>
      <x:c r="AN62" s="12" t="str"/>
      <x:c r="AO62" s="12" t="str">
        <x:v>2026-07-01</x:v>
      </x:c>
      <x:c r="AP62" s="12" t="str">
        <x:v>2026-07-19</x:v>
      </x:c>
      <x:c r="AQ62" s="12" t="str">
        <x:v>Alta</x:v>
      </x:c>
      <x:c r="AR62" s="12" t="str">
        <x:v>Inventário mestre completo atualizado em 2026-07-01</x:v>
      </x:c>
      <x:c r="AS62" s="12" t="str">
        <x:v>Precificação individual pendente</x:v>
      </x:c>
      <x:c r="AT62" s="12" t="str">
        <x:v>Avaliação visual; tratamentos não avaliados; confirmar naturalidade/tratamento em laboratório.</x:v>
      </x:c>
    </x:row>
    <x:row r="63">
      <x:c r="A63" s="12" t="str">
        <x:v>DG-EM-062</x:v>
      </x:c>
      <x:c r="B63" s="12" t="str"/>
      <x:c r="C63" s="12" t="str">
        <x:v>Emerald Collection</x:v>
      </x:c>
      <x:c r="D63" s="12" t="str">
        <x:v>Esmeraldas</x:v>
      </x:c>
      <x:c r="E63" s="12" t="str">
        <x:v>Berilo</x:v>
      </x:c>
      <x:c r="F63" s="12" t="str">
        <x:v>Esmeralda</x:v>
      </x:c>
      <x:c r="G63" s="12" t="str">
        <x:v>Gema individual</x:v>
      </x:c>
      <x:c r="H63" s="18" t="n">
        <x:v>1</x:v>
      </x:c>
      <x:c r="I63" s="12" t="str">
        <x:v>Oval</x:v>
      </x:c>
      <x:c r="J63" s="12" t="str">
        <x:v>13 x 8 x 5</x:v>
      </x:c>
      <x:c r="K63" s="14" t="n">
        <x:v>2.315</x:v>
      </x:c>
      <x:c r="L63" s="12" t="str">
        <x:v>Sim</x:v>
      </x:c>
      <x:c r="M63" s="12" t="str">
        <x:v>Balança / informado</x:v>
      </x:c>
      <x:c r="N63" s="12" t="str">
        <x:v>Verde médio a intenso</x:v>
      </x:c>
      <x:c r="O63" s="12" t="str">
        <x:v>Semi-transparente a translúcida</x:v>
      </x:c>
      <x:c r="P63" s="12" t="str"/>
      <x:c r="Q63" s="12" t="str">
        <x:v>Não avaliado / não informado</x:v>
      </x:c>
      <x:c r="R63" s="12" t="str">
        <x:v>Não</x:v>
      </x:c>
      <x:c r="S63" s="12" t="str"/>
      <x:c r="T63" s="12" t="str"/>
      <x:c r="U63" s="20"/>
      <x:c r="V63" s="20"/>
      <x:c r="W63" s="20"/>
      <x:c r="X63" s="20"/>
      <x:c r="Y63" s="20"/>
      <x:c r="Z63" s="20"/>
      <x:c r="AA63" s="20"/>
      <x:c r="AB63" s="12" t="str">
        <x:v>Pendente de precificação individual</x:v>
      </x:c>
      <x:c r="AC63" s="16" t="n">
        <x:v>8.4</x:v>
      </x:c>
      <x:c r="AD63" s="12" t="str">
        <x:v>A-</x:v>
      </x:c>
      <x:c r="AE63" s="12" t="str">
        <x:v>A definir</x:v>
      </x:c>
      <x:c r="AF63" s="12" t="str">
        <x:v>Anel de destaque / pingente</x:v>
      </x:c>
      <x:c r="AG63" s="12" t="str">
        <x:v>Anel de destaque / pingente</x:v>
      </x:c>
      <x:c r="AH63" s="12" t="str">
        <x:v>Coleção</x:v>
      </x:c>
      <x:c r="AI63" s="12" t="str"/>
      <x:c r="AJ63" s="12" t="str"/>
      <x:c r="AK63" s="12" t="str"/>
      <x:c r="AL63" s="12" t="str"/>
      <x:c r="AM63" s="12" t="str">
        <x:v>Não informado</x:v>
      </x:c>
      <x:c r="AN63" s="12" t="str"/>
      <x:c r="AO63" s="12" t="str">
        <x:v>2026-07-01</x:v>
      </x:c>
      <x:c r="AP63" s="12" t="str">
        <x:v>2026-07-19</x:v>
      </x:c>
      <x:c r="AQ63" s="12" t="str">
        <x:v>Alta</x:v>
      </x:c>
      <x:c r="AR63" s="12" t="str">
        <x:v>Inventário mestre completo atualizado em 2026-07-01</x:v>
      </x:c>
      <x:c r="AS63" s="12" t="str">
        <x:v>Precificação individual pendente</x:v>
      </x:c>
      <x:c r="AT63" s="12" t="str">
        <x:v>Avaliação visual; tratamentos não avaliados; confirmar naturalidade/tratamento em laboratório.</x:v>
      </x:c>
    </x:row>
    <x:row r="64">
      <x:c r="A64" s="12" t="str">
        <x:v>DG-EM-063</x:v>
      </x:c>
      <x:c r="B64" s="12" t="str"/>
      <x:c r="C64" s="12" t="str">
        <x:v>Emerald Collection</x:v>
      </x:c>
      <x:c r="D64" s="12" t="str">
        <x:v>Esmeraldas</x:v>
      </x:c>
      <x:c r="E64" s="12" t="str">
        <x:v>Berilo</x:v>
      </x:c>
      <x:c r="F64" s="12" t="str">
        <x:v>Esmeralda</x:v>
      </x:c>
      <x:c r="G64" s="12" t="str">
        <x:v>Gema individual</x:v>
      </x:c>
      <x:c r="H64" s="18" t="n">
        <x:v>1</x:v>
      </x:c>
      <x:c r="I64" s="12" t="str">
        <x:v>Oval</x:v>
      </x:c>
      <x:c r="J64" s="12" t="str">
        <x:v>11 x 7 x 5</x:v>
      </x:c>
      <x:c r="K64" s="14" t="n">
        <x:v>2.095</x:v>
      </x:c>
      <x:c r="L64" s="12" t="str">
        <x:v>Sim</x:v>
      </x:c>
      <x:c r="M64" s="12" t="str">
        <x:v>Balança / informado</x:v>
      </x:c>
      <x:c r="N64" s="12" t="str">
        <x:v>Verde intenso</x:v>
      </x:c>
      <x:c r="O64" s="12" t="str">
        <x:v>Semi-transparente a translúcida</x:v>
      </x:c>
      <x:c r="P64" s="12" t="str"/>
      <x:c r="Q64" s="12" t="str">
        <x:v>Não avaliado / não informado</x:v>
      </x:c>
      <x:c r="R64" s="12" t="str">
        <x:v>Não</x:v>
      </x:c>
      <x:c r="S64" s="12" t="str"/>
      <x:c r="T64" s="12" t="str"/>
      <x:c r="U64" s="20"/>
      <x:c r="V64" s="20"/>
      <x:c r="W64" s="20"/>
      <x:c r="X64" s="20"/>
      <x:c r="Y64" s="20"/>
      <x:c r="Z64" s="20"/>
      <x:c r="AA64" s="20"/>
      <x:c r="AB64" s="12" t="str">
        <x:v>Pendente de precificação individual</x:v>
      </x:c>
      <x:c r="AC64" s="16" t="n">
        <x:v>8.5</x:v>
      </x:c>
      <x:c r="AD64" s="12" t="str">
        <x:v>A-</x:v>
      </x:c>
      <x:c r="AE64" s="12" t="str">
        <x:v>A definir</x:v>
      </x:c>
      <x:c r="AF64" s="12" t="str">
        <x:v>Anel de alto padrão / pingente</x:v>
      </x:c>
      <x:c r="AG64" s="12" t="str">
        <x:v>Anel de alto padrão / pingente</x:v>
      </x:c>
      <x:c r="AH64" s="12" t="str">
        <x:v>Coleção</x:v>
      </x:c>
      <x:c r="AI64" s="12" t="str"/>
      <x:c r="AJ64" s="12" t="str"/>
      <x:c r="AK64" s="12" t="str"/>
      <x:c r="AL64" s="12" t="str"/>
      <x:c r="AM64" s="12" t="str">
        <x:v>Não informado</x:v>
      </x:c>
      <x:c r="AN64" s="12" t="str"/>
      <x:c r="AO64" s="12" t="str">
        <x:v>2026-07-01</x:v>
      </x:c>
      <x:c r="AP64" s="12" t="str">
        <x:v>2026-07-19</x:v>
      </x:c>
      <x:c r="AQ64" s="12" t="str">
        <x:v>Alta</x:v>
      </x:c>
      <x:c r="AR64" s="12" t="str">
        <x:v>Inventário mestre completo atualizado em 2026-07-01</x:v>
      </x:c>
      <x:c r="AS64" s="12" t="str">
        <x:v>Precificação individual pendente</x:v>
      </x:c>
      <x:c r="AT64" s="12" t="str">
        <x:v>Avaliação visual; tratamentos não avaliados; confirmar naturalidade/tratamento em laboratório.</x:v>
      </x:c>
    </x:row>
    <x:row r="65">
      <x:c r="A65" s="12" t="str">
        <x:v>DG-EM-064</x:v>
      </x:c>
      <x:c r="B65" s="12" t="str"/>
      <x:c r="C65" s="12" t="str">
        <x:v>Emerald Collection</x:v>
      </x:c>
      <x:c r="D65" s="12" t="str">
        <x:v>Esmeraldas</x:v>
      </x:c>
      <x:c r="E65" s="12" t="str">
        <x:v>Berilo</x:v>
      </x:c>
      <x:c r="F65" s="12" t="str">
        <x:v>Esmeralda</x:v>
      </x:c>
      <x:c r="G65" s="12" t="str">
        <x:v>Gema individual</x:v>
      </x:c>
      <x:c r="H65" s="18" t="n">
        <x:v>1</x:v>
      </x:c>
      <x:c r="I65" s="12" t="str">
        <x:v>Oval</x:v>
      </x:c>
      <x:c r="J65" s="12" t="str">
        <x:v>9 x 7 x 4</x:v>
      </x:c>
      <x:c r="K65" s="14" t="n">
        <x:v>1.22</x:v>
      </x:c>
      <x:c r="L65" s="12" t="str">
        <x:v>Sim</x:v>
      </x:c>
      <x:c r="M65" s="12" t="str">
        <x:v>Balança / informado</x:v>
      </x:c>
      <x:c r="N65" s="12" t="str">
        <x:v>Verde médio</x:v>
      </x:c>
      <x:c r="O65" s="12" t="str">
        <x:v>Semi-transparente a translúcida</x:v>
      </x:c>
      <x:c r="P65" s="12" t="str"/>
      <x:c r="Q65" s="12" t="str">
        <x:v>Não avaliado / não informado</x:v>
      </x:c>
      <x:c r="R65" s="12" t="str">
        <x:v>Não</x:v>
      </x:c>
      <x:c r="S65" s="12" t="str"/>
      <x:c r="T65" s="12" t="str"/>
      <x:c r="U65" s="20"/>
      <x:c r="V65" s="20"/>
      <x:c r="W65" s="20"/>
      <x:c r="X65" s="20"/>
      <x:c r="Y65" s="20"/>
      <x:c r="Z65" s="20"/>
      <x:c r="AA65" s="20"/>
      <x:c r="AB65" s="12" t="str">
        <x:v>Pendente de precificação individual</x:v>
      </x:c>
      <x:c r="AC65" s="16" t="n">
        <x:v>8.1</x:v>
      </x:c>
      <x:c r="AD65" s="12" t="str">
        <x:v>B+</x:v>
      </x:c>
      <x:c r="AE65" s="12" t="str">
        <x:v>A definir</x:v>
      </x:c>
      <x:c r="AF65" s="12" t="str">
        <x:v>Anel / brinco / pingente</x:v>
      </x:c>
      <x:c r="AG65" s="12" t="str">
        <x:v>Anel / brinco / pingente</x:v>
      </x:c>
      <x:c r="AH65" s="12" t="str">
        <x:v>Coleção</x:v>
      </x:c>
      <x:c r="AI65" s="12" t="str"/>
      <x:c r="AJ65" s="12" t="str"/>
      <x:c r="AK65" s="12" t="str"/>
      <x:c r="AL65" s="12" t="str"/>
      <x:c r="AM65" s="12" t="str">
        <x:v>Não informado</x:v>
      </x:c>
      <x:c r="AN65" s="12" t="str"/>
      <x:c r="AO65" s="12" t="str">
        <x:v>2026-07-01</x:v>
      </x:c>
      <x:c r="AP65" s="12" t="str">
        <x:v>2026-07-19</x:v>
      </x:c>
      <x:c r="AQ65" s="12" t="str">
        <x:v>Alta</x:v>
      </x:c>
      <x:c r="AR65" s="12" t="str">
        <x:v>Inventário mestre completo atualizado em 2026-07-01</x:v>
      </x:c>
      <x:c r="AS65" s="12" t="str">
        <x:v>Precificação individual pendente</x:v>
      </x:c>
      <x:c r="AT65" s="12" t="str">
        <x:v>Avaliação visual; tratamentos não avaliados; confirmar naturalidade/tratamento em laboratório.</x:v>
      </x:c>
    </x:row>
    <x:row r="66">
      <x:c r="A66" s="12" t="str">
        <x:v>DG-EM-065</x:v>
      </x:c>
      <x:c r="B66" s="12" t="str"/>
      <x:c r="C66" s="12" t="str">
        <x:v>Emerald Collection</x:v>
      </x:c>
      <x:c r="D66" s="12" t="str">
        <x:v>Esmeraldas</x:v>
      </x:c>
      <x:c r="E66" s="12" t="str">
        <x:v>Berilo</x:v>
      </x:c>
      <x:c r="F66" s="12" t="str">
        <x:v>Esmeralda</x:v>
      </x:c>
      <x:c r="G66" s="12" t="str">
        <x:v>Gema individual</x:v>
      </x:c>
      <x:c r="H66" s="18" t="n">
        <x:v>1</x:v>
      </x:c>
      <x:c r="I66" s="12" t="str">
        <x:v>Emerald Cut retangular</x:v>
      </x:c>
      <x:c r="J66" s="12" t="str">
        <x:v>9 x 6 x 4</x:v>
      </x:c>
      <x:c r="K66" s="14" t="n">
        <x:v>1.285</x:v>
      </x:c>
      <x:c r="L66" s="12" t="str">
        <x:v>Sim</x:v>
      </x:c>
      <x:c r="M66" s="12" t="str">
        <x:v>Balança / informado</x:v>
      </x:c>
      <x:c r="N66" s="12" t="str">
        <x:v>Verde intenso</x:v>
      </x:c>
      <x:c r="O66" s="12" t="str">
        <x:v>Semi-transparente a translúcida</x:v>
      </x:c>
      <x:c r="P66" s="12" t="str"/>
      <x:c r="Q66" s="12" t="str">
        <x:v>Não avaliado / não informado</x:v>
      </x:c>
      <x:c r="R66" s="12" t="str">
        <x:v>Não</x:v>
      </x:c>
      <x:c r="S66" s="12" t="str"/>
      <x:c r="T66" s="12" t="str"/>
      <x:c r="U66" s="20"/>
      <x:c r="V66" s="20"/>
      <x:c r="W66" s="20"/>
      <x:c r="X66" s="20"/>
      <x:c r="Y66" s="20"/>
      <x:c r="Z66" s="20"/>
      <x:c r="AA66" s="20"/>
      <x:c r="AB66" s="12" t="str">
        <x:v>Pendente de precificação individual</x:v>
      </x:c>
      <x:c r="AC66" s="16" t="n">
        <x:v>8.3</x:v>
      </x:c>
      <x:c r="AD66" s="12" t="str">
        <x:v>A-</x:v>
      </x:c>
      <x:c r="AE66" s="12" t="str">
        <x:v>A definir</x:v>
      </x:c>
      <x:c r="AF66" s="12" t="str">
        <x:v>Anel clássico / pingente</x:v>
      </x:c>
      <x:c r="AG66" s="12" t="str">
        <x:v>Anel clássico / pingente</x:v>
      </x:c>
      <x:c r="AH66" s="12" t="str">
        <x:v>Coleção</x:v>
      </x:c>
      <x:c r="AI66" s="12" t="str"/>
      <x:c r="AJ66" s="12" t="str"/>
      <x:c r="AK66" s="12" t="str"/>
      <x:c r="AL66" s="12" t="str"/>
      <x:c r="AM66" s="12" t="str">
        <x:v>Não informado</x:v>
      </x:c>
      <x:c r="AN66" s="12" t="str"/>
      <x:c r="AO66" s="12" t="str">
        <x:v>2026-07-01</x:v>
      </x:c>
      <x:c r="AP66" s="12" t="str">
        <x:v>2026-07-19</x:v>
      </x:c>
      <x:c r="AQ66" s="12" t="str">
        <x:v>Alta</x:v>
      </x:c>
      <x:c r="AR66" s="12" t="str">
        <x:v>Inventário mestre completo atualizado em 2026-07-01</x:v>
      </x:c>
      <x:c r="AS66" s="12" t="str">
        <x:v>Precificação individual pendente</x:v>
      </x:c>
      <x:c r="AT66" s="12" t="str">
        <x:v>Avaliação visual; tratamentos não avaliados; confirmar naturalidade/tratamento em laboratório.</x:v>
      </x:c>
    </x:row>
    <x:row r="67">
      <x:c r="A67" s="12" t="str">
        <x:v>DG-EM-066</x:v>
      </x:c>
      <x:c r="B67" s="12" t="str"/>
      <x:c r="C67" s="12" t="str">
        <x:v>Emerald Collection</x:v>
      </x:c>
      <x:c r="D67" s="12" t="str">
        <x:v>Esmeraldas</x:v>
      </x:c>
      <x:c r="E67" s="12" t="str">
        <x:v>Berilo</x:v>
      </x:c>
      <x:c r="F67" s="12" t="str">
        <x:v>Esmeralda</x:v>
      </x:c>
      <x:c r="G67" s="12" t="str">
        <x:v>Gema individual</x:v>
      </x:c>
      <x:c r="H67" s="18" t="n">
        <x:v>1</x:v>
      </x:c>
      <x:c r="I67" s="12" t="str">
        <x:v>Emerald Cut retangular</x:v>
      </x:c>
      <x:c r="J67" s="12" t="str">
        <x:v>9 x 6 x 4</x:v>
      </x:c>
      <x:c r="K67" s="14" t="n">
        <x:v>1.405</x:v>
      </x:c>
      <x:c r="L67" s="12" t="str">
        <x:v>Sim</x:v>
      </x:c>
      <x:c r="M67" s="12" t="str">
        <x:v>Balança / informado</x:v>
      </x:c>
      <x:c r="N67" s="12" t="str">
        <x:v>Verde intenso</x:v>
      </x:c>
      <x:c r="O67" s="12" t="str">
        <x:v>Semi-transparente a translúcida</x:v>
      </x:c>
      <x:c r="P67" s="12" t="str"/>
      <x:c r="Q67" s="12" t="str">
        <x:v>Não avaliado / não informado</x:v>
      </x:c>
      <x:c r="R67" s="12" t="str">
        <x:v>Não</x:v>
      </x:c>
      <x:c r="S67" s="12" t="str"/>
      <x:c r="T67" s="12" t="str"/>
      <x:c r="U67" s="20"/>
      <x:c r="V67" s="20"/>
      <x:c r="W67" s="20"/>
      <x:c r="X67" s="20"/>
      <x:c r="Y67" s="20"/>
      <x:c r="Z67" s="20"/>
      <x:c r="AA67" s="20"/>
      <x:c r="AB67" s="12" t="str">
        <x:v>Pendente de precificação individual</x:v>
      </x:c>
      <x:c r="AC67" s="16" t="n">
        <x:v>8.5</x:v>
      </x:c>
      <x:c r="AD67" s="12" t="str">
        <x:v>A</x:v>
      </x:c>
      <x:c r="AE67" s="12" t="str">
        <x:v>A definir</x:v>
      </x:c>
      <x:c r="AF67" s="12" t="str">
        <x:v>Anel solitário / pingente</x:v>
      </x:c>
      <x:c r="AG67" s="12" t="str">
        <x:v>Anel solitário / pingente</x:v>
      </x:c>
      <x:c r="AH67" s="12" t="str">
        <x:v>Coleção</x:v>
      </x:c>
      <x:c r="AI67" s="12" t="str"/>
      <x:c r="AJ67" s="12" t="str"/>
      <x:c r="AK67" s="12" t="str"/>
      <x:c r="AL67" s="12" t="str"/>
      <x:c r="AM67" s="12" t="str">
        <x:v>Não informado</x:v>
      </x:c>
      <x:c r="AN67" s="12" t="str"/>
      <x:c r="AO67" s="12" t="str">
        <x:v>2026-07-01</x:v>
      </x:c>
      <x:c r="AP67" s="12" t="str">
        <x:v>2026-07-19</x:v>
      </x:c>
      <x:c r="AQ67" s="12" t="str">
        <x:v>Alta</x:v>
      </x:c>
      <x:c r="AR67" s="12" t="str">
        <x:v>Inventário mestre completo atualizado em 2026-07-01</x:v>
      </x:c>
      <x:c r="AS67" s="12" t="str">
        <x:v>Precificação individual pendente</x:v>
      </x:c>
      <x:c r="AT67" s="12" t="str">
        <x:v>Avaliação visual; tratamentos não avaliados; confirmar naturalidade/tratamento em laboratório.</x:v>
      </x:c>
    </x:row>
    <x:row r="68">
      <x:c r="A68" s="12" t="str">
        <x:v>DG-EM-067</x:v>
      </x:c>
      <x:c r="B68" s="12" t="str"/>
      <x:c r="C68" s="12" t="str">
        <x:v>Emerald Collection</x:v>
      </x:c>
      <x:c r="D68" s="12" t="str">
        <x:v>Esmeraldas</x:v>
      </x:c>
      <x:c r="E68" s="12" t="str">
        <x:v>Berilo</x:v>
      </x:c>
      <x:c r="F68" s="12" t="str">
        <x:v>Esmeralda</x:v>
      </x:c>
      <x:c r="G68" s="12" t="str">
        <x:v>Gema individual</x:v>
      </x:c>
      <x:c r="H68" s="18" t="n">
        <x:v>1</x:v>
      </x:c>
      <x:c r="I68" s="12" t="str">
        <x:v>Quadrado / Emerald Cut</x:v>
      </x:c>
      <x:c r="J68" s="12" t="str">
        <x:v>7 x 7 x 4</x:v>
      </x:c>
      <x:c r="K68" s="14" t="n">
        <x:v>1.19</x:v>
      </x:c>
      <x:c r="L68" s="12" t="str">
        <x:v>Sim</x:v>
      </x:c>
      <x:c r="M68" s="12" t="str">
        <x:v>Balança / informado</x:v>
      </x:c>
      <x:c r="N68" s="12" t="str">
        <x:v>Verde médio a intenso</x:v>
      </x:c>
      <x:c r="O68" s="12" t="str">
        <x:v>Semi-transparente a translúcida</x:v>
      </x:c>
      <x:c r="P68" s="12" t="str"/>
      <x:c r="Q68" s="12" t="str">
        <x:v>Não avaliado / não informado</x:v>
      </x:c>
      <x:c r="R68" s="12" t="str">
        <x:v>Não</x:v>
      </x:c>
      <x:c r="S68" s="12" t="str"/>
      <x:c r="T68" s="12" t="str"/>
      <x:c r="U68" s="20"/>
      <x:c r="V68" s="20"/>
      <x:c r="W68" s="20"/>
      <x:c r="X68" s="20"/>
      <x:c r="Y68" s="20"/>
      <x:c r="Z68" s="20"/>
      <x:c r="AA68" s="20"/>
      <x:c r="AB68" s="12" t="str">
        <x:v>Pendente de precificação individual</x:v>
      </x:c>
      <x:c r="AC68" s="16" t="n">
        <x:v>8.1</x:v>
      </x:c>
      <x:c r="AD68" s="12" t="str">
        <x:v>B+</x:v>
      </x:c>
      <x:c r="AE68" s="12" t="str">
        <x:v>A definir</x:v>
      </x:c>
      <x:c r="AF68" s="12" t="str">
        <x:v>Anel clássico / joia geométrica</x:v>
      </x:c>
      <x:c r="AG68" s="12" t="str">
        <x:v>Anel clássico / joia geométrica</x:v>
      </x:c>
      <x:c r="AH68" s="12" t="str">
        <x:v>Coleção</x:v>
      </x:c>
      <x:c r="AI68" s="12" t="str"/>
      <x:c r="AJ68" s="12" t="str"/>
      <x:c r="AK68" s="12" t="str"/>
      <x:c r="AL68" s="12" t="str"/>
      <x:c r="AM68" s="12" t="str">
        <x:v>Não informado</x:v>
      </x:c>
      <x:c r="AN68" s="12" t="str"/>
      <x:c r="AO68" s="12" t="str">
        <x:v>2026-07-01</x:v>
      </x:c>
      <x:c r="AP68" s="12" t="str">
        <x:v>2026-07-19</x:v>
      </x:c>
      <x:c r="AQ68" s="12" t="str">
        <x:v>Alta</x:v>
      </x:c>
      <x:c r="AR68" s="12" t="str">
        <x:v>Inventário mestre completo atualizado em 2026-07-01</x:v>
      </x:c>
      <x:c r="AS68" s="12" t="str">
        <x:v>Precificação individual pendente</x:v>
      </x:c>
      <x:c r="AT68" s="12" t="str">
        <x:v>Avaliação visual; tratamentos não avaliados; confirmar naturalidade/tratamento em laboratório.</x:v>
      </x:c>
    </x:row>
    <x:row r="69">
      <x:c r="A69" s="12" t="str">
        <x:v>DG-EM-068</x:v>
      </x:c>
      <x:c r="B69" s="12" t="str"/>
      <x:c r="C69" s="12" t="str">
        <x:v>Emerald Collection</x:v>
      </x:c>
      <x:c r="D69" s="12" t="str">
        <x:v>Esmeraldas</x:v>
      </x:c>
      <x:c r="E69" s="12" t="str">
        <x:v>Berilo</x:v>
      </x:c>
      <x:c r="F69" s="12" t="str">
        <x:v>Esmeralda</x:v>
      </x:c>
      <x:c r="G69" s="12" t="str">
        <x:v>Gema individual</x:v>
      </x:c>
      <x:c r="H69" s="18" t="n">
        <x:v>1</x:v>
      </x:c>
      <x:c r="I69" s="12" t="str">
        <x:v>Redondo brilhante</x:v>
      </x:c>
      <x:c r="J69" s="12" t="str">
        <x:v>8 x 8 x 5</x:v>
      </x:c>
      <x:c r="K69" s="14" t="n">
        <x:v>1.405</x:v>
      </x:c>
      <x:c r="L69" s="12" t="str">
        <x:v>Sim</x:v>
      </x:c>
      <x:c r="M69" s="12" t="str">
        <x:v>Balança / informado</x:v>
      </x:c>
      <x:c r="N69" s="12" t="str">
        <x:v>Verde médio a intenso</x:v>
      </x:c>
      <x:c r="O69" s="12" t="str">
        <x:v>Semi-transparente a translúcida</x:v>
      </x:c>
      <x:c r="P69" s="12" t="str"/>
      <x:c r="Q69" s="12" t="str">
        <x:v>Não avaliado / não informado</x:v>
      </x:c>
      <x:c r="R69" s="12" t="str">
        <x:v>Não</x:v>
      </x:c>
      <x:c r="S69" s="12" t="str"/>
      <x:c r="T69" s="12" t="str"/>
      <x:c r="U69" s="20"/>
      <x:c r="V69" s="20"/>
      <x:c r="W69" s="20"/>
      <x:c r="X69" s="20"/>
      <x:c r="Y69" s="20"/>
      <x:c r="Z69" s="20"/>
      <x:c r="AA69" s="20"/>
      <x:c r="AB69" s="12" t="str">
        <x:v>Pendente de precificação individual</x:v>
      </x:c>
      <x:c r="AC69" s="16" t="n">
        <x:v>8.3</x:v>
      </x:c>
      <x:c r="AD69" s="12" t="str">
        <x:v>A-</x:v>
      </x:c>
      <x:c r="AE69" s="12" t="str">
        <x:v>A definir</x:v>
      </x:c>
      <x:c r="AF69" s="12" t="str">
        <x:v>Anel solitário / pingente</x:v>
      </x:c>
      <x:c r="AG69" s="12" t="str">
        <x:v>Anel solitário / pingente</x:v>
      </x:c>
      <x:c r="AH69" s="12" t="str">
        <x:v>Coleção</x:v>
      </x:c>
      <x:c r="AI69" s="12" t="str"/>
      <x:c r="AJ69" s="12" t="str"/>
      <x:c r="AK69" s="12" t="str"/>
      <x:c r="AL69" s="12" t="str"/>
      <x:c r="AM69" s="12" t="str">
        <x:v>Não informado</x:v>
      </x:c>
      <x:c r="AN69" s="12" t="str"/>
      <x:c r="AO69" s="12" t="str">
        <x:v>2026-07-01</x:v>
      </x:c>
      <x:c r="AP69" s="12" t="str">
        <x:v>2026-07-19</x:v>
      </x:c>
      <x:c r="AQ69" s="12" t="str">
        <x:v>Alta</x:v>
      </x:c>
      <x:c r="AR69" s="12" t="str">
        <x:v>Inventário mestre completo atualizado em 2026-07-01</x:v>
      </x:c>
      <x:c r="AS69" s="12" t="str">
        <x:v>Precificação individual pendente</x:v>
      </x:c>
      <x:c r="AT69" s="12" t="str">
        <x:v>Avaliação visual; tratamentos não avaliados; confirmar naturalidade/tratamento em laboratório.</x:v>
      </x:c>
    </x:row>
    <x:row r="70">
      <x:c r="A70" s="12" t="str">
        <x:v>DG-EM-069</x:v>
      </x:c>
      <x:c r="B70" s="12" t="str"/>
      <x:c r="C70" s="12" t="str">
        <x:v>Emerald Collection</x:v>
      </x:c>
      <x:c r="D70" s="12" t="str">
        <x:v>Esmeraldas</x:v>
      </x:c>
      <x:c r="E70" s="12" t="str">
        <x:v>Berilo</x:v>
      </x:c>
      <x:c r="F70" s="12" t="str">
        <x:v>Esmeralda</x:v>
      </x:c>
      <x:c r="G70" s="12" t="str">
        <x:v>Gema individual</x:v>
      </x:c>
      <x:c r="H70" s="18" t="n">
        <x:v>1</x:v>
      </x:c>
      <x:c r="I70" s="12" t="str">
        <x:v>Oval</x:v>
      </x:c>
      <x:c r="J70" s="12" t="str">
        <x:v>9 x 8 x 4</x:v>
      </x:c>
      <x:c r="K70" s="14" t="n">
        <x:v>1.545</x:v>
      </x:c>
      <x:c r="L70" s="12" t="str">
        <x:v>Sim</x:v>
      </x:c>
      <x:c r="M70" s="12" t="str">
        <x:v>Balança / informado</x:v>
      </x:c>
      <x:c r="N70" s="12" t="str">
        <x:v>Verde médio a intenso</x:v>
      </x:c>
      <x:c r="O70" s="12" t="str">
        <x:v>Semi-transparente a translúcida</x:v>
      </x:c>
      <x:c r="P70" s="12" t="str"/>
      <x:c r="Q70" s="12" t="str">
        <x:v>Não avaliado / não informado</x:v>
      </x:c>
      <x:c r="R70" s="12" t="str">
        <x:v>Não</x:v>
      </x:c>
      <x:c r="S70" s="12" t="str"/>
      <x:c r="T70" s="12" t="str"/>
      <x:c r="U70" s="20"/>
      <x:c r="V70" s="20"/>
      <x:c r="W70" s="20"/>
      <x:c r="X70" s="20"/>
      <x:c r="Y70" s="20"/>
      <x:c r="Z70" s="20"/>
      <x:c r="AA70" s="20"/>
      <x:c r="AB70" s="12" t="str">
        <x:v>Pendente de precificação individual</x:v>
      </x:c>
      <x:c r="AC70" s="16" t="n">
        <x:v>8.3</x:v>
      </x:c>
      <x:c r="AD70" s="12" t="str">
        <x:v>A-</x:v>
      </x:c>
      <x:c r="AE70" s="12" t="str">
        <x:v>A definir</x:v>
      </x:c>
      <x:c r="AF70" s="12" t="str">
        <x:v>Anel / pingente / brincos</x:v>
      </x:c>
      <x:c r="AG70" s="12" t="str">
        <x:v>Anel / pingente / brincos</x:v>
      </x:c>
      <x:c r="AH70" s="12" t="str">
        <x:v>Coleção</x:v>
      </x:c>
      <x:c r="AI70" s="12" t="str"/>
      <x:c r="AJ70" s="12" t="str"/>
      <x:c r="AK70" s="12" t="str"/>
      <x:c r="AL70" s="12" t="str"/>
      <x:c r="AM70" s="12" t="str">
        <x:v>Não informado</x:v>
      </x:c>
      <x:c r="AN70" s="12" t="str"/>
      <x:c r="AO70" s="12" t="str">
        <x:v>2026-07-01</x:v>
      </x:c>
      <x:c r="AP70" s="12" t="str">
        <x:v>2026-07-19</x:v>
      </x:c>
      <x:c r="AQ70" s="12" t="str">
        <x:v>Alta</x:v>
      </x:c>
      <x:c r="AR70" s="12" t="str">
        <x:v>Inventário mestre completo atualizado em 2026-07-01</x:v>
      </x:c>
      <x:c r="AS70" s="12" t="str">
        <x:v>Precificação individual pendente</x:v>
      </x:c>
      <x:c r="AT70" s="12" t="str">
        <x:v>Avaliação visual; tratamentos não avaliados; confirmar naturalidade/tratamento em laboratório.</x:v>
      </x:c>
    </x:row>
    <x:row r="71">
      <x:c r="A71" s="12" t="str">
        <x:v>DG-EM-070</x:v>
      </x:c>
      <x:c r="B71" s="12" t="str"/>
      <x:c r="C71" s="12" t="str">
        <x:v>Emerald Collection</x:v>
      </x:c>
      <x:c r="D71" s="12" t="str">
        <x:v>Esmeraldas</x:v>
      </x:c>
      <x:c r="E71" s="12" t="str">
        <x:v>Berilo</x:v>
      </x:c>
      <x:c r="F71" s="12" t="str">
        <x:v>Esmeralda</x:v>
      </x:c>
      <x:c r="G71" s="12" t="str">
        <x:v>Gema individual</x:v>
      </x:c>
      <x:c r="H71" s="18" t="n">
        <x:v>1</x:v>
      </x:c>
      <x:c r="I71" s="12" t="str">
        <x:v>Triangular / Trillion</x:v>
      </x:c>
      <x:c r="J71" s="12" t="str">
        <x:v>10 x 7 x 3</x:v>
      </x:c>
      <x:c r="K71" s="14" t="n">
        <x:v>0.875</x:v>
      </x:c>
      <x:c r="L71" s="12" t="str">
        <x:v>Sim</x:v>
      </x:c>
      <x:c r="M71" s="12" t="str">
        <x:v>Balança / informado</x:v>
      </x:c>
      <x:c r="N71" s="12" t="str">
        <x:v>Verde médio a intenso</x:v>
      </x:c>
      <x:c r="O71" s="12" t="str">
        <x:v>Semi-transparente a translúcida</x:v>
      </x:c>
      <x:c r="P71" s="12" t="str"/>
      <x:c r="Q71" s="12" t="str">
        <x:v>Não avaliado / não informado</x:v>
      </x:c>
      <x:c r="R71" s="12" t="str">
        <x:v>Não</x:v>
      </x:c>
      <x:c r="S71" s="12" t="str"/>
      <x:c r="T71" s="12" t="str"/>
      <x:c r="U71" s="20"/>
      <x:c r="V71" s="20"/>
      <x:c r="W71" s="20"/>
      <x:c r="X71" s="20"/>
      <x:c r="Y71" s="20"/>
      <x:c r="Z71" s="20"/>
      <x:c r="AA71" s="20"/>
      <x:c r="AB71" s="12" t="str">
        <x:v>Pendente de precificação individual</x:v>
      </x:c>
      <x:c r="AC71" s="16" t="n">
        <x:v>8</x:v>
      </x:c>
      <x:c r="AD71" s="12" t="str">
        <x:v>B+</x:v>
      </x:c>
      <x:c r="AE71" s="12" t="str">
        <x:v>A definir</x:v>
      </x:c>
      <x:c r="AF71" s="12" t="str">
        <x:v>Brincos / pingente contemporâneo</x:v>
      </x:c>
      <x:c r="AG71" s="12" t="str">
        <x:v>Brincos / pingente contemporâneo</x:v>
      </x:c>
      <x:c r="AH71" s="12" t="str">
        <x:v>Coleção</x:v>
      </x:c>
      <x:c r="AI71" s="12" t="str"/>
      <x:c r="AJ71" s="12" t="str"/>
      <x:c r="AK71" s="12" t="str"/>
      <x:c r="AL71" s="12" t="str"/>
      <x:c r="AM71" s="12" t="str">
        <x:v>Não informado</x:v>
      </x:c>
      <x:c r="AN71" s="12" t="str"/>
      <x:c r="AO71" s="12" t="str">
        <x:v>2026-07-01</x:v>
      </x:c>
      <x:c r="AP71" s="12" t="str">
        <x:v>2026-07-19</x:v>
      </x:c>
      <x:c r="AQ71" s="12" t="str">
        <x:v>Alta</x:v>
      </x:c>
      <x:c r="AR71" s="12" t="str">
        <x:v>Inventário mestre completo atualizado em 2026-07-01</x:v>
      </x:c>
      <x:c r="AS71" s="12" t="str">
        <x:v>Precificação individual pendente</x:v>
      </x:c>
      <x:c r="AT71" s="12" t="str">
        <x:v>Avaliação visual; tratamentos não avaliados; confirmar naturalidade/tratamento em laboratório.</x:v>
      </x:c>
    </x:row>
    <x:row r="72">
      <x:c r="A72" s="12" t="str">
        <x:v>DG-EM-071</x:v>
      </x:c>
      <x:c r="B72" s="12" t="str"/>
      <x:c r="C72" s="12" t="str">
        <x:v>Emerald Collection</x:v>
      </x:c>
      <x:c r="D72" s="12" t="str">
        <x:v>Esmeraldas</x:v>
      </x:c>
      <x:c r="E72" s="12" t="str">
        <x:v>Berilo</x:v>
      </x:c>
      <x:c r="F72" s="12" t="str">
        <x:v>Esmeralda</x:v>
      </x:c>
      <x:c r="G72" s="12" t="str">
        <x:v>Gema individual</x:v>
      </x:c>
      <x:c r="H72" s="18" t="n">
        <x:v>1</x:v>
      </x:c>
      <x:c r="I72" s="12" t="str">
        <x:v>Oval</x:v>
      </x:c>
      <x:c r="J72" s="12" t="str">
        <x:v>8 x 6 x 4</x:v>
      </x:c>
      <x:c r="K72" s="14" t="n">
        <x:v>1</x:v>
      </x:c>
      <x:c r="L72" s="12" t="str">
        <x:v>Sim</x:v>
      </x:c>
      <x:c r="M72" s="12" t="str">
        <x:v>Balança / informado</x:v>
      </x:c>
      <x:c r="N72" s="12" t="str">
        <x:v>Verde médio a intenso</x:v>
      </x:c>
      <x:c r="O72" s="12" t="str">
        <x:v>Semi-transparente a translúcida</x:v>
      </x:c>
      <x:c r="P72" s="12" t="str"/>
      <x:c r="Q72" s="12" t="str">
        <x:v>Não avaliado / não informado</x:v>
      </x:c>
      <x:c r="R72" s="12" t="str">
        <x:v>Não</x:v>
      </x:c>
      <x:c r="S72" s="12" t="str"/>
      <x:c r="T72" s="12" t="str"/>
      <x:c r="U72" s="20"/>
      <x:c r="V72" s="20"/>
      <x:c r="W72" s="20"/>
      <x:c r="X72" s="20"/>
      <x:c r="Y72" s="20"/>
      <x:c r="Z72" s="20"/>
      <x:c r="AA72" s="20"/>
      <x:c r="AB72" s="12" t="str">
        <x:v>Pendente de precificação individual</x:v>
      </x:c>
      <x:c r="AC72" s="16" t="n">
        <x:v>8</x:v>
      </x:c>
      <x:c r="AD72" s="12" t="str">
        <x:v>B+</x:v>
      </x:c>
      <x:c r="AE72" s="12" t="str">
        <x:v>A definir</x:v>
      </x:c>
      <x:c r="AF72" s="12" t="str">
        <x:v>Anel / brincos / pingente</x:v>
      </x:c>
      <x:c r="AG72" s="12" t="str">
        <x:v>Anel / brincos / pingente</x:v>
      </x:c>
      <x:c r="AH72" s="12" t="str">
        <x:v>Coleção</x:v>
      </x:c>
      <x:c r="AI72" s="12" t="str"/>
      <x:c r="AJ72" s="12" t="str"/>
      <x:c r="AK72" s="12" t="str"/>
      <x:c r="AL72" s="12" t="str"/>
      <x:c r="AM72" s="12" t="str">
        <x:v>Não informado</x:v>
      </x:c>
      <x:c r="AN72" s="12" t="str"/>
      <x:c r="AO72" s="12" t="str">
        <x:v>2026-07-01</x:v>
      </x:c>
      <x:c r="AP72" s="12" t="str">
        <x:v>2026-07-19</x:v>
      </x:c>
      <x:c r="AQ72" s="12" t="str">
        <x:v>Alta</x:v>
      </x:c>
      <x:c r="AR72" s="12" t="str">
        <x:v>Inventário mestre completo atualizado em 2026-07-01</x:v>
      </x:c>
      <x:c r="AS72" s="12" t="str">
        <x:v>Precificação individual pendente</x:v>
      </x:c>
      <x:c r="AT72" s="12" t="str">
        <x:v>Avaliação visual; tratamentos não avaliados; confirmar naturalidade/tratamento em laboratório.</x:v>
      </x:c>
    </x:row>
    <x:row r="73">
      <x:c r="A73" s="12" t="str">
        <x:v>DG-EM-072</x:v>
      </x:c>
      <x:c r="B73" s="12" t="str"/>
      <x:c r="C73" s="12" t="str">
        <x:v>Emerald Collection</x:v>
      </x:c>
      <x:c r="D73" s="12" t="str">
        <x:v>Esmeraldas</x:v>
      </x:c>
      <x:c r="E73" s="12" t="str">
        <x:v>Berilo</x:v>
      </x:c>
      <x:c r="F73" s="12" t="str">
        <x:v>Esmeralda</x:v>
      </x:c>
      <x:c r="G73" s="12" t="str">
        <x:v>Gema individual</x:v>
      </x:c>
      <x:c r="H73" s="18" t="n">
        <x:v>1</x:v>
      </x:c>
      <x:c r="I73" s="12" t="str">
        <x:v>Quadrado octogonal</x:v>
      </x:c>
      <x:c r="J73" s="12" t="str">
        <x:v>7 x 7 x 5</x:v>
      </x:c>
      <x:c r="K73" s="14" t="n">
        <x:v>1.58</x:v>
      </x:c>
      <x:c r="L73" s="12" t="str">
        <x:v>Sim</x:v>
      </x:c>
      <x:c r="M73" s="12" t="str">
        <x:v>Balança / informado</x:v>
      </x:c>
      <x:c r="N73" s="12" t="str">
        <x:v>Verde médio azulado</x:v>
      </x:c>
      <x:c r="O73" s="12" t="str">
        <x:v>Semi-transparente a translúcida</x:v>
      </x:c>
      <x:c r="P73" s="12" t="str"/>
      <x:c r="Q73" s="12" t="str">
        <x:v>Não avaliado / não informado</x:v>
      </x:c>
      <x:c r="R73" s="12" t="str">
        <x:v>Não</x:v>
      </x:c>
      <x:c r="S73" s="12" t="str"/>
      <x:c r="T73" s="12" t="str"/>
      <x:c r="U73" s="20"/>
      <x:c r="V73" s="20"/>
      <x:c r="W73" s="20"/>
      <x:c r="X73" s="20"/>
      <x:c r="Y73" s="20"/>
      <x:c r="Z73" s="20"/>
      <x:c r="AA73" s="20"/>
      <x:c r="AB73" s="12" t="str">
        <x:v>Pendente de precificação individual</x:v>
      </x:c>
      <x:c r="AC73" s="16" t="n">
        <x:v>8.3</x:v>
      </x:c>
      <x:c r="AD73" s="12" t="str">
        <x:v>A-</x:v>
      </x:c>
      <x:c r="AE73" s="12" t="str">
        <x:v>A definir</x:v>
      </x:c>
      <x:c r="AF73" s="12" t="str">
        <x:v>Anel solitário geométrico</x:v>
      </x:c>
      <x:c r="AG73" s="12" t="str">
        <x:v>Anel solitário geométrico</x:v>
      </x:c>
      <x:c r="AH73" s="12" t="str">
        <x:v>Coleção</x:v>
      </x:c>
      <x:c r="AI73" s="12" t="str"/>
      <x:c r="AJ73" s="12" t="str"/>
      <x:c r="AK73" s="12" t="str"/>
      <x:c r="AL73" s="12" t="str"/>
      <x:c r="AM73" s="12" t="str">
        <x:v>Não informado</x:v>
      </x:c>
      <x:c r="AN73" s="12" t="str"/>
      <x:c r="AO73" s="12" t="str">
        <x:v>2026-07-01</x:v>
      </x:c>
      <x:c r="AP73" s="12" t="str">
        <x:v>2026-07-19</x:v>
      </x:c>
      <x:c r="AQ73" s="12" t="str">
        <x:v>Alta</x:v>
      </x:c>
      <x:c r="AR73" s="12" t="str">
        <x:v>Inventário mestre completo atualizado em 2026-07-01</x:v>
      </x:c>
      <x:c r="AS73" s="12" t="str">
        <x:v>Precificação individual pendente</x:v>
      </x:c>
      <x:c r="AT73" s="12" t="str">
        <x:v>Avaliação visual; tratamentos não avaliados; confirmar naturalidade/tratamento em laboratório.</x:v>
      </x:c>
    </x:row>
    <x:row r="74">
      <x:c r="A74" s="12" t="str">
        <x:v>DG-EM-073</x:v>
      </x:c>
      <x:c r="B74" s="12" t="str"/>
      <x:c r="C74" s="12" t="str">
        <x:v>Emerald Collection</x:v>
      </x:c>
      <x:c r="D74" s="12" t="str">
        <x:v>Esmeraldas</x:v>
      </x:c>
      <x:c r="E74" s="12" t="str">
        <x:v>Berilo</x:v>
      </x:c>
      <x:c r="F74" s="12" t="str">
        <x:v>Esmeralda</x:v>
      </x:c>
      <x:c r="G74" s="12" t="str">
        <x:v>Gema individual</x:v>
      </x:c>
      <x:c r="H74" s="18" t="n">
        <x:v>1</x:v>
      </x:c>
      <x:c r="I74" s="12" t="str">
        <x:v>Emerald Cut retangular</x:v>
      </x:c>
      <x:c r="J74" s="12" t="str">
        <x:v>9 x 6 x 5</x:v>
      </x:c>
      <x:c r="K74" s="14" t="n">
        <x:v>1.59</x:v>
      </x:c>
      <x:c r="L74" s="12" t="str">
        <x:v>Sim</x:v>
      </x:c>
      <x:c r="M74" s="12" t="str">
        <x:v>Balança / informado</x:v>
      </x:c>
      <x:c r="N74" s="12" t="str">
        <x:v>Verde intenso</x:v>
      </x:c>
      <x:c r="O74" s="12" t="str">
        <x:v>Semi-transparente a translúcida</x:v>
      </x:c>
      <x:c r="P74" s="12" t="str"/>
      <x:c r="Q74" s="12" t="str">
        <x:v>Não avaliado / não informado</x:v>
      </x:c>
      <x:c r="R74" s="12" t="str">
        <x:v>Não</x:v>
      </x:c>
      <x:c r="S74" s="12" t="str"/>
      <x:c r="T74" s="12" t="str"/>
      <x:c r="U74" s="20"/>
      <x:c r="V74" s="20"/>
      <x:c r="W74" s="20"/>
      <x:c r="X74" s="20"/>
      <x:c r="Y74" s="20"/>
      <x:c r="Z74" s="20"/>
      <x:c r="AA74" s="20"/>
      <x:c r="AB74" s="12" t="str">
        <x:v>Pendente de precificação individual</x:v>
      </x:c>
      <x:c r="AC74" s="16" t="n">
        <x:v>8.4</x:v>
      </x:c>
      <x:c r="AD74" s="12" t="str">
        <x:v>A-</x:v>
      </x:c>
      <x:c r="AE74" s="12" t="str">
        <x:v>A definir</x:v>
      </x:c>
      <x:c r="AF74" s="12" t="str">
        <x:v>Anel clássico / pingente</x:v>
      </x:c>
      <x:c r="AG74" s="12" t="str">
        <x:v>Anel clássico / pingente</x:v>
      </x:c>
      <x:c r="AH74" s="12" t="str">
        <x:v>Coleção</x:v>
      </x:c>
      <x:c r="AI74" s="12" t="str"/>
      <x:c r="AJ74" s="12" t="str"/>
      <x:c r="AK74" s="12" t="str"/>
      <x:c r="AL74" s="12" t="str"/>
      <x:c r="AM74" s="12" t="str">
        <x:v>Não informado</x:v>
      </x:c>
      <x:c r="AN74" s="12" t="str"/>
      <x:c r="AO74" s="12" t="str">
        <x:v>2026-07-01</x:v>
      </x:c>
      <x:c r="AP74" s="12" t="str">
        <x:v>2026-07-19</x:v>
      </x:c>
      <x:c r="AQ74" s="12" t="str">
        <x:v>Alta</x:v>
      </x:c>
      <x:c r="AR74" s="12" t="str">
        <x:v>Inventário mestre completo atualizado em 2026-07-01</x:v>
      </x:c>
      <x:c r="AS74" s="12" t="str">
        <x:v>Precificação individual pendente</x:v>
      </x:c>
      <x:c r="AT74" s="12" t="str">
        <x:v>Avaliação visual; tratamentos não avaliados; confirmar naturalidade/tratamento em laboratório.</x:v>
      </x:c>
    </x:row>
    <x:row r="75">
      <x:c r="A75" s="12" t="str">
        <x:v>DG-EM-074</x:v>
      </x:c>
      <x:c r="B75" s="12" t="str"/>
      <x:c r="C75" s="12" t="str">
        <x:v>Emerald Collection</x:v>
      </x:c>
      <x:c r="D75" s="12" t="str">
        <x:v>Esmeraldas</x:v>
      </x:c>
      <x:c r="E75" s="12" t="str">
        <x:v>Berilo</x:v>
      </x:c>
      <x:c r="F75" s="12" t="str">
        <x:v>Esmeralda</x:v>
      </x:c>
      <x:c r="G75" s="12" t="str">
        <x:v>Gema individual</x:v>
      </x:c>
      <x:c r="H75" s="18" t="n">
        <x:v>1</x:v>
      </x:c>
      <x:c r="I75" s="12" t="str">
        <x:v>Quadrado octogonal</x:v>
      </x:c>
      <x:c r="J75" s="12" t="str">
        <x:v>7 x 7 x 4</x:v>
      </x:c>
      <x:c r="K75" s="14" t="n">
        <x:v>1.235</x:v>
      </x:c>
      <x:c r="L75" s="12" t="str">
        <x:v>Sim</x:v>
      </x:c>
      <x:c r="M75" s="12" t="str">
        <x:v>Balança / informado</x:v>
      </x:c>
      <x:c r="N75" s="12" t="str">
        <x:v>Verde médio azulado</x:v>
      </x:c>
      <x:c r="O75" s="12" t="str">
        <x:v>Semi-transparente a translúcida</x:v>
      </x:c>
      <x:c r="P75" s="12" t="str"/>
      <x:c r="Q75" s="12" t="str">
        <x:v>Não avaliado / não informado</x:v>
      </x:c>
      <x:c r="R75" s="12" t="str">
        <x:v>Não</x:v>
      </x:c>
      <x:c r="S75" s="12" t="str"/>
      <x:c r="T75" s="12" t="str"/>
      <x:c r="U75" s="20"/>
      <x:c r="V75" s="20"/>
      <x:c r="W75" s="20"/>
      <x:c r="X75" s="20"/>
      <x:c r="Y75" s="20"/>
      <x:c r="Z75" s="20"/>
      <x:c r="AA75" s="20"/>
      <x:c r="AB75" s="12" t="str">
        <x:v>Pendente de precificação individual</x:v>
      </x:c>
      <x:c r="AC75" s="16" t="n">
        <x:v>8.1</x:v>
      </x:c>
      <x:c r="AD75" s="12" t="str">
        <x:v>B+</x:v>
      </x:c>
      <x:c r="AE75" s="12" t="str">
        <x:v>A definir</x:v>
      </x:c>
      <x:c r="AF75" s="12" t="str">
        <x:v>Anel clássico / brincos</x:v>
      </x:c>
      <x:c r="AG75" s="12" t="str">
        <x:v>Anel clássico / brincos</x:v>
      </x:c>
      <x:c r="AH75" s="12" t="str">
        <x:v>Coleção</x:v>
      </x:c>
      <x:c r="AI75" s="12" t="str"/>
      <x:c r="AJ75" s="12" t="str"/>
      <x:c r="AK75" s="12" t="str"/>
      <x:c r="AL75" s="12" t="str"/>
      <x:c r="AM75" s="12" t="str">
        <x:v>Não informado</x:v>
      </x:c>
      <x:c r="AN75" s="12" t="str"/>
      <x:c r="AO75" s="12" t="str">
        <x:v>2026-07-01</x:v>
      </x:c>
      <x:c r="AP75" s="12" t="str">
        <x:v>2026-07-19</x:v>
      </x:c>
      <x:c r="AQ75" s="12" t="str">
        <x:v>Alta</x:v>
      </x:c>
      <x:c r="AR75" s="12" t="str">
        <x:v>Inventário mestre completo atualizado em 2026-07-01</x:v>
      </x:c>
      <x:c r="AS75" s="12" t="str">
        <x:v>Precificação individual pendente</x:v>
      </x:c>
      <x:c r="AT75" s="12" t="str">
        <x:v>Avaliação visual; tratamentos não avaliados; confirmar naturalidade/tratamento em laboratório.</x:v>
      </x:c>
    </x:row>
    <x:row r="76">
      <x:c r="A76" s="12" t="str">
        <x:v>DG-EM-075</x:v>
      </x:c>
      <x:c r="B76" s="12" t="str"/>
      <x:c r="C76" s="12" t="str">
        <x:v>Emerald Collection</x:v>
      </x:c>
      <x:c r="D76" s="12" t="str">
        <x:v>Esmeraldas</x:v>
      </x:c>
      <x:c r="E76" s="12" t="str">
        <x:v>Berilo</x:v>
      </x:c>
      <x:c r="F76" s="12" t="str">
        <x:v>Esmeralda</x:v>
      </x:c>
      <x:c r="G76" s="12" t="str">
        <x:v>Gema individual</x:v>
      </x:c>
      <x:c r="H76" s="18" t="n">
        <x:v>1</x:v>
      </x:c>
      <x:c r="I76" s="12" t="str">
        <x:v>Quadrado octogonal</x:v>
      </x:c>
      <x:c r="J76" s="12" t="str">
        <x:v>7 x 7 x 4</x:v>
      </x:c>
      <x:c r="K76" s="14" t="n">
        <x:v>1.065</x:v>
      </x:c>
      <x:c r="L76" s="12" t="str">
        <x:v>Sim</x:v>
      </x:c>
      <x:c r="M76" s="12" t="str">
        <x:v>Balança / informado</x:v>
      </x:c>
      <x:c r="N76" s="12" t="str">
        <x:v>Verde médio azulado</x:v>
      </x:c>
      <x:c r="O76" s="12" t="str">
        <x:v>Semi-transparente a translúcida</x:v>
      </x:c>
      <x:c r="P76" s="12" t="str"/>
      <x:c r="Q76" s="12" t="str">
        <x:v>Não avaliado / não informado</x:v>
      </x:c>
      <x:c r="R76" s="12" t="str">
        <x:v>Não</x:v>
      </x:c>
      <x:c r="S76" s="12" t="str"/>
      <x:c r="T76" s="12" t="str"/>
      <x:c r="U76" s="20"/>
      <x:c r="V76" s="20"/>
      <x:c r="W76" s="20"/>
      <x:c r="X76" s="20"/>
      <x:c r="Y76" s="20"/>
      <x:c r="Z76" s="20"/>
      <x:c r="AA76" s="20"/>
      <x:c r="AB76" s="12" t="str">
        <x:v>Pendente de precificação individual</x:v>
      </x:c>
      <x:c r="AC76" s="16" t="n">
        <x:v>8</x:v>
      </x:c>
      <x:c r="AD76" s="12" t="str">
        <x:v>B+</x:v>
      </x:c>
      <x:c r="AE76" s="12" t="str">
        <x:v>A definir</x:v>
      </x:c>
      <x:c r="AF76" s="12" t="str">
        <x:v>Anel delicado / brincos</x:v>
      </x:c>
      <x:c r="AG76" s="12" t="str">
        <x:v>Anel delicado / brincos</x:v>
      </x:c>
      <x:c r="AH76" s="12" t="str">
        <x:v>Coleção</x:v>
      </x:c>
      <x:c r="AI76" s="12" t="str"/>
      <x:c r="AJ76" s="12" t="str"/>
      <x:c r="AK76" s="12" t="str"/>
      <x:c r="AL76" s="12" t="str"/>
      <x:c r="AM76" s="12" t="str">
        <x:v>Não informado</x:v>
      </x:c>
      <x:c r="AN76" s="12" t="str"/>
      <x:c r="AO76" s="12" t="str">
        <x:v>2026-07-01</x:v>
      </x:c>
      <x:c r="AP76" s="12" t="str">
        <x:v>2026-07-19</x:v>
      </x:c>
      <x:c r="AQ76" s="12" t="str">
        <x:v>Alta</x:v>
      </x:c>
      <x:c r="AR76" s="12" t="str">
        <x:v>Inventário mestre completo atualizado em 2026-07-01</x:v>
      </x:c>
      <x:c r="AS76" s="12" t="str">
        <x:v>Precificação individual pendente</x:v>
      </x:c>
      <x:c r="AT76" s="12" t="str">
        <x:v>Avaliação visual; tratamentos não avaliados; confirmar naturalidade/tratamento em laboratório.</x:v>
      </x:c>
    </x:row>
    <x:row r="77">
      <x:c r="A77" s="12" t="str">
        <x:v>DG-EM-076</x:v>
      </x:c>
      <x:c r="B77" s="12" t="str"/>
      <x:c r="C77" s="12" t="str">
        <x:v>Emerald Collection</x:v>
      </x:c>
      <x:c r="D77" s="12" t="str">
        <x:v>Esmeraldas</x:v>
      </x:c>
      <x:c r="E77" s="12" t="str">
        <x:v>Berilo</x:v>
      </x:c>
      <x:c r="F77" s="12" t="str">
        <x:v>Esmeralda</x:v>
      </x:c>
      <x:c r="G77" s="12" t="str">
        <x:v>Gema individual</x:v>
      </x:c>
      <x:c r="H77" s="18" t="n">
        <x:v>1</x:v>
      </x:c>
      <x:c r="I77" s="12" t="str">
        <x:v>Redondo brilhante</x:v>
      </x:c>
      <x:c r="J77" s="12" t="str">
        <x:v>6.5 x 6.5 x 4</x:v>
      </x:c>
      <x:c r="K77" s="14" t="n">
        <x:v>0.92</x:v>
      </x:c>
      <x:c r="L77" s="12" t="str">
        <x:v>Sim</x:v>
      </x:c>
      <x:c r="M77" s="12" t="str">
        <x:v>Balança / informado</x:v>
      </x:c>
      <x:c r="N77" s="12" t="str">
        <x:v>Verde médio a intenso</x:v>
      </x:c>
      <x:c r="O77" s="12" t="str">
        <x:v>Semi-transparente a translúcida</x:v>
      </x:c>
      <x:c r="P77" s="12" t="str"/>
      <x:c r="Q77" s="12" t="str">
        <x:v>Não avaliado / não informado</x:v>
      </x:c>
      <x:c r="R77" s="12" t="str">
        <x:v>Não</x:v>
      </x:c>
      <x:c r="S77" s="12" t="str"/>
      <x:c r="T77" s="12" t="str"/>
      <x:c r="U77" s="20"/>
      <x:c r="V77" s="20"/>
      <x:c r="W77" s="20"/>
      <x:c r="X77" s="20"/>
      <x:c r="Y77" s="20"/>
      <x:c r="Z77" s="20"/>
      <x:c r="AA77" s="20"/>
      <x:c r="AB77" s="12" t="str">
        <x:v>Pendente de precificação individual</x:v>
      </x:c>
      <x:c r="AC77" s="16" t="n">
        <x:v>8.1</x:v>
      </x:c>
      <x:c r="AD77" s="12" t="str">
        <x:v>B+</x:v>
      </x:c>
      <x:c r="AE77" s="12" t="str">
        <x:v>A definir</x:v>
      </x:c>
      <x:c r="AF77" s="12" t="str">
        <x:v>Anel delicado / pingente / brinco</x:v>
      </x:c>
      <x:c r="AG77" s="12" t="str">
        <x:v>Anel delicado / pingente / brinco</x:v>
      </x:c>
      <x:c r="AH77" s="12" t="str">
        <x:v>Coleção</x:v>
      </x:c>
      <x:c r="AI77" s="12" t="str"/>
      <x:c r="AJ77" s="12" t="str"/>
      <x:c r="AK77" s="12" t="str"/>
      <x:c r="AL77" s="12" t="str"/>
      <x:c r="AM77" s="12" t="str">
        <x:v>Não informado</x:v>
      </x:c>
      <x:c r="AN77" s="12" t="str"/>
      <x:c r="AO77" s="12" t="str">
        <x:v>2026-07-01</x:v>
      </x:c>
      <x:c r="AP77" s="12" t="str">
        <x:v>2026-07-19</x:v>
      </x:c>
      <x:c r="AQ77" s="12" t="str">
        <x:v>Alta</x:v>
      </x:c>
      <x:c r="AR77" s="12" t="str">
        <x:v>Inventário mestre completo atualizado em 2026-07-01</x:v>
      </x:c>
      <x:c r="AS77" s="12" t="str">
        <x:v>Precificação individual pendente</x:v>
      </x:c>
      <x:c r="AT77" s="12" t="str">
        <x:v>Avaliação visual; tratamentos não avaliados; confirmar naturalidade/tratamento em laboratório.</x:v>
      </x:c>
    </x:row>
    <x:row r="78">
      <x:c r="A78" s="12" t="str">
        <x:v>DG-EM-077</x:v>
      </x:c>
      <x:c r="B78" s="12" t="str"/>
      <x:c r="C78" s="12" t="str">
        <x:v>Emerald Collection</x:v>
      </x:c>
      <x:c r="D78" s="12" t="str">
        <x:v>Esmeraldas</x:v>
      </x:c>
      <x:c r="E78" s="12" t="str">
        <x:v>Berilo</x:v>
      </x:c>
      <x:c r="F78" s="12" t="str">
        <x:v>Esmeralda</x:v>
      </x:c>
      <x:c r="G78" s="12" t="str">
        <x:v>Gema individual</x:v>
      </x:c>
      <x:c r="H78" s="18" t="n">
        <x:v>1</x:v>
      </x:c>
      <x:c r="I78" s="12" t="str">
        <x:v>Redondo brilhante</x:v>
      </x:c>
      <x:c r="J78" s="12" t="str">
        <x:v>6 x 6 x 3</x:v>
      </x:c>
      <x:c r="K78" s="14" t="n">
        <x:v>0.585</x:v>
      </x:c>
      <x:c r="L78" s="12" t="str">
        <x:v>Sim</x:v>
      </x:c>
      <x:c r="M78" s="12" t="str">
        <x:v>Balança / informado</x:v>
      </x:c>
      <x:c r="N78" s="12" t="str">
        <x:v>Verde médio a intenso</x:v>
      </x:c>
      <x:c r="O78" s="12" t="str">
        <x:v>Semi-transparente a translúcida</x:v>
      </x:c>
      <x:c r="P78" s="12" t="str"/>
      <x:c r="Q78" s="12" t="str">
        <x:v>Não avaliado / não informado</x:v>
      </x:c>
      <x:c r="R78" s="12" t="str">
        <x:v>Não</x:v>
      </x:c>
      <x:c r="S78" s="12" t="str"/>
      <x:c r="T78" s="12" t="str"/>
      <x:c r="U78" s="20"/>
      <x:c r="V78" s="20"/>
      <x:c r="W78" s="20"/>
      <x:c r="X78" s="20"/>
      <x:c r="Y78" s="20"/>
      <x:c r="Z78" s="20"/>
      <x:c r="AA78" s="20"/>
      <x:c r="AB78" s="12" t="str">
        <x:v>Pendente de precificação individual</x:v>
      </x:c>
      <x:c r="AC78" s="16" t="n">
        <x:v>7.8</x:v>
      </x:c>
      <x:c r="AD78" s="12" t="str">
        <x:v>B</x:v>
      </x:c>
      <x:c r="AE78" s="12" t="str">
        <x:v>A definir</x:v>
      </x:c>
      <x:c r="AF78" s="12" t="str">
        <x:v>Brincos / pingente pequeno</x:v>
      </x:c>
      <x:c r="AG78" s="12" t="str">
        <x:v>Brincos / pingente pequeno</x:v>
      </x:c>
      <x:c r="AH78" s="12" t="str">
        <x:v>Coleção</x:v>
      </x:c>
      <x:c r="AI78" s="12" t="str"/>
      <x:c r="AJ78" s="12" t="str"/>
      <x:c r="AK78" s="12" t="str"/>
      <x:c r="AL78" s="12" t="str"/>
      <x:c r="AM78" s="12" t="str">
        <x:v>Não informado</x:v>
      </x:c>
      <x:c r="AN78" s="12" t="str"/>
      <x:c r="AO78" s="12" t="str">
        <x:v>2026-07-01</x:v>
      </x:c>
      <x:c r="AP78" s="12" t="str">
        <x:v>2026-07-19</x:v>
      </x:c>
      <x:c r="AQ78" s="12" t="str">
        <x:v>Alta</x:v>
      </x:c>
      <x:c r="AR78" s="12" t="str">
        <x:v>Inventário mestre completo atualizado em 2026-07-01</x:v>
      </x:c>
      <x:c r="AS78" s="12" t="str">
        <x:v>Precificação individual pendente</x:v>
      </x:c>
      <x:c r="AT78" s="12" t="str">
        <x:v>Avaliação visual; tratamentos não avaliados; confirmar naturalidade/tratamento em laboratório.</x:v>
      </x:c>
    </x:row>
    <x:row r="79">
      <x:c r="A79" s="12" t="str">
        <x:v>DG-EM-078</x:v>
      </x:c>
      <x:c r="B79" s="12" t="str"/>
      <x:c r="C79" s="12" t="str">
        <x:v>Emerald Collection</x:v>
      </x:c>
      <x:c r="D79" s="12" t="str">
        <x:v>Esmeraldas</x:v>
      </x:c>
      <x:c r="E79" s="12" t="str">
        <x:v>Berilo</x:v>
      </x:c>
      <x:c r="F79" s="12" t="str">
        <x:v>Esmeralda</x:v>
      </x:c>
      <x:c r="G79" s="12" t="str">
        <x:v>Gema individual</x:v>
      </x:c>
      <x:c r="H79" s="18" t="n">
        <x:v>1</x:v>
      </x:c>
      <x:c r="I79" s="12" t="str">
        <x:v>Redondo brilhante</x:v>
      </x:c>
      <x:c r="J79" s="12" t="str">
        <x:v>7 x 7 x 5</x:v>
      </x:c>
      <x:c r="K79" s="14" t="n">
        <x:v>1.19</x:v>
      </x:c>
      <x:c r="L79" s="12" t="str">
        <x:v>Sim</x:v>
      </x:c>
      <x:c r="M79" s="12" t="str">
        <x:v>Balança / informado</x:v>
      </x:c>
      <x:c r="N79" s="12" t="str">
        <x:v>Verde vivo</x:v>
      </x:c>
      <x:c r="O79" s="12" t="str">
        <x:v>Semi-transparente a translúcida</x:v>
      </x:c>
      <x:c r="P79" s="12" t="str"/>
      <x:c r="Q79" s="12" t="str">
        <x:v>Não avaliado / não informado</x:v>
      </x:c>
      <x:c r="R79" s="12" t="str">
        <x:v>Não</x:v>
      </x:c>
      <x:c r="S79" s="12" t="str"/>
      <x:c r="T79" s="12" t="str"/>
      <x:c r="U79" s="20"/>
      <x:c r="V79" s="20"/>
      <x:c r="W79" s="20"/>
      <x:c r="X79" s="20"/>
      <x:c r="Y79" s="20"/>
      <x:c r="Z79" s="20"/>
      <x:c r="AA79" s="20"/>
      <x:c r="AB79" s="12" t="str">
        <x:v>Pendente de precificação individual</x:v>
      </x:c>
      <x:c r="AC79" s="16" t="n">
        <x:v>8.1</x:v>
      </x:c>
      <x:c r="AD79" s="12" t="str">
        <x:v>B+</x:v>
      </x:c>
      <x:c r="AE79" s="12" t="str">
        <x:v>A definir</x:v>
      </x:c>
      <x:c r="AF79" s="12" t="str">
        <x:v>Anel solitário delicado / pingente</x:v>
      </x:c>
      <x:c r="AG79" s="12" t="str">
        <x:v>Anel solitário delicado / pingente</x:v>
      </x:c>
      <x:c r="AH79" s="12" t="str">
        <x:v>Coleção</x:v>
      </x:c>
      <x:c r="AI79" s="12" t="str"/>
      <x:c r="AJ79" s="12" t="str"/>
      <x:c r="AK79" s="12" t="str"/>
      <x:c r="AL79" s="12" t="str"/>
      <x:c r="AM79" s="12" t="str">
        <x:v>Não informado</x:v>
      </x:c>
      <x:c r="AN79" s="12" t="str"/>
      <x:c r="AO79" s="12" t="str">
        <x:v>2026-07-01</x:v>
      </x:c>
      <x:c r="AP79" s="12" t="str">
        <x:v>2026-07-19</x:v>
      </x:c>
      <x:c r="AQ79" s="12" t="str">
        <x:v>Alta</x:v>
      </x:c>
      <x:c r="AR79" s="12" t="str">
        <x:v>Inventário mestre completo atualizado em 2026-07-01</x:v>
      </x:c>
      <x:c r="AS79" s="12" t="str">
        <x:v>Precificação individual pendente</x:v>
      </x:c>
      <x:c r="AT79" s="12" t="str">
        <x:v>Avaliação visual; tratamentos não avaliados; confirmar naturalidade/tratamento em laboratório.</x:v>
      </x:c>
    </x:row>
    <x:row r="80">
      <x:c r="A80" s="12" t="str">
        <x:v>DG-EM-079</x:v>
      </x:c>
      <x:c r="B80" s="12" t="str"/>
      <x:c r="C80" s="12" t="str">
        <x:v>Emerald Collection</x:v>
      </x:c>
      <x:c r="D80" s="12" t="str">
        <x:v>Esmeraldas</x:v>
      </x:c>
      <x:c r="E80" s="12" t="str">
        <x:v>Berilo</x:v>
      </x:c>
      <x:c r="F80" s="12" t="str">
        <x:v>Esmeralda</x:v>
      </x:c>
      <x:c r="G80" s="12" t="str">
        <x:v>Gema individual</x:v>
      </x:c>
      <x:c r="H80" s="18" t="n">
        <x:v>1</x:v>
      </x:c>
      <x:c r="I80" s="12" t="str">
        <x:v>Redondo brilhante</x:v>
      </x:c>
      <x:c r="J80" s="12" t="str">
        <x:v>6 x 6 x 3</x:v>
      </x:c>
      <x:c r="K80" s="14" t="n">
        <x:v>0.585</x:v>
      </x:c>
      <x:c r="L80" s="12" t="str">
        <x:v>Sim</x:v>
      </x:c>
      <x:c r="M80" s="12" t="str">
        <x:v>Balança / informado</x:v>
      </x:c>
      <x:c r="N80" s="12" t="str">
        <x:v>Verde médio amarelado</x:v>
      </x:c>
      <x:c r="O80" s="12" t="str">
        <x:v>Semi-transparente a translúcida</x:v>
      </x:c>
      <x:c r="P80" s="12" t="str"/>
      <x:c r="Q80" s="12" t="str">
        <x:v>Não avaliado / não informado</x:v>
      </x:c>
      <x:c r="R80" s="12" t="str">
        <x:v>Não</x:v>
      </x:c>
      <x:c r="S80" s="12" t="str"/>
      <x:c r="T80" s="12" t="str"/>
      <x:c r="U80" s="20"/>
      <x:c r="V80" s="20"/>
      <x:c r="W80" s="20"/>
      <x:c r="X80" s="20"/>
      <x:c r="Y80" s="20"/>
      <x:c r="Z80" s="20"/>
      <x:c r="AA80" s="20"/>
      <x:c r="AB80" s="12" t="str">
        <x:v>Pendente de precificação individual</x:v>
      </x:c>
      <x:c r="AC80" s="16" t="n">
        <x:v>7.8</x:v>
      </x:c>
      <x:c r="AD80" s="12" t="str">
        <x:v>B</x:v>
      </x:c>
      <x:c r="AE80" s="12" t="str">
        <x:v>A definir</x:v>
      </x:c>
      <x:c r="AF80" s="12" t="str">
        <x:v>Brinco / pingente minimalista</x:v>
      </x:c>
      <x:c r="AG80" s="12" t="str">
        <x:v>Brinco / pingente minimalista</x:v>
      </x:c>
      <x:c r="AH80" s="12" t="str">
        <x:v>Coleção</x:v>
      </x:c>
      <x:c r="AI80" s="12" t="str"/>
      <x:c r="AJ80" s="12" t="str"/>
      <x:c r="AK80" s="12" t="str"/>
      <x:c r="AL80" s="12" t="str"/>
      <x:c r="AM80" s="12" t="str">
        <x:v>Não informado</x:v>
      </x:c>
      <x:c r="AN80" s="12" t="str"/>
      <x:c r="AO80" s="12" t="str">
        <x:v>2026-07-01</x:v>
      </x:c>
      <x:c r="AP80" s="12" t="str">
        <x:v>2026-07-19</x:v>
      </x:c>
      <x:c r="AQ80" s="12" t="str">
        <x:v>Alta</x:v>
      </x:c>
      <x:c r="AR80" s="12" t="str">
        <x:v>Inventário mestre completo atualizado em 2026-07-01</x:v>
      </x:c>
      <x:c r="AS80" s="12" t="str">
        <x:v>Precificação individual pendente</x:v>
      </x:c>
      <x:c r="AT80" s="12" t="str">
        <x:v>Avaliação visual; tratamentos não avaliados; confirmar naturalidade/tratamento em laboratório.</x:v>
      </x:c>
    </x:row>
    <x:row r="81">
      <x:c r="A81" s="12" t="str">
        <x:v>DG-EM-080</x:v>
      </x:c>
      <x:c r="B81" s="12" t="str"/>
      <x:c r="C81" s="12" t="str">
        <x:v>Emerald Collection</x:v>
      </x:c>
      <x:c r="D81" s="12" t="str">
        <x:v>Esmeraldas</x:v>
      </x:c>
      <x:c r="E81" s="12" t="str">
        <x:v>Berilo</x:v>
      </x:c>
      <x:c r="F81" s="12" t="str">
        <x:v>Esmeralda</x:v>
      </x:c>
      <x:c r="G81" s="12" t="str">
        <x:v>Gema individual</x:v>
      </x:c>
      <x:c r="H81" s="18" t="n">
        <x:v>1</x:v>
      </x:c>
      <x:c r="I81" s="12" t="str">
        <x:v>Redondo brilhante</x:v>
      </x:c>
      <x:c r="J81" s="12" t="str">
        <x:v>6 x 6 x 3</x:v>
      </x:c>
      <x:c r="K81" s="14" t="n">
        <x:v>0.66</x:v>
      </x:c>
      <x:c r="L81" s="12" t="str">
        <x:v>Sim</x:v>
      </x:c>
      <x:c r="M81" s="12" t="str">
        <x:v>Balança / informado</x:v>
      </x:c>
      <x:c r="N81" s="12" t="str">
        <x:v>Verde médio</x:v>
      </x:c>
      <x:c r="O81" s="12" t="str">
        <x:v>Semi-transparente a translúcida</x:v>
      </x:c>
      <x:c r="P81" s="12" t="str"/>
      <x:c r="Q81" s="12" t="str">
        <x:v>Não avaliado / não informado</x:v>
      </x:c>
      <x:c r="R81" s="12" t="str">
        <x:v>Não</x:v>
      </x:c>
      <x:c r="S81" s="12" t="str"/>
      <x:c r="T81" s="12" t="str"/>
      <x:c r="U81" s="20"/>
      <x:c r="V81" s="20"/>
      <x:c r="W81" s="20"/>
      <x:c r="X81" s="20"/>
      <x:c r="Y81" s="20"/>
      <x:c r="Z81" s="20"/>
      <x:c r="AA81" s="20"/>
      <x:c r="AB81" s="12" t="str">
        <x:v>Pendente de precificação individual</x:v>
      </x:c>
      <x:c r="AC81" s="16" t="n">
        <x:v>7.9</x:v>
      </x:c>
      <x:c r="AD81" s="12" t="str">
        <x:v>B</x:v>
      </x:c>
      <x:c r="AE81" s="12" t="str">
        <x:v>A definir</x:v>
      </x:c>
      <x:c r="AF81" s="12" t="str">
        <x:v>Brinco / pingente minimalista</x:v>
      </x:c>
      <x:c r="AG81" s="12" t="str">
        <x:v>Brinco / pingente minimalista</x:v>
      </x:c>
      <x:c r="AH81" s="12" t="str">
        <x:v>Coleção</x:v>
      </x:c>
      <x:c r="AI81" s="12" t="str"/>
      <x:c r="AJ81" s="12" t="str"/>
      <x:c r="AK81" s="12" t="str"/>
      <x:c r="AL81" s="12" t="str"/>
      <x:c r="AM81" s="12" t="str">
        <x:v>Não informado</x:v>
      </x:c>
      <x:c r="AN81" s="12" t="str"/>
      <x:c r="AO81" s="12" t="str">
        <x:v>2026-07-01</x:v>
      </x:c>
      <x:c r="AP81" s="12" t="str">
        <x:v>2026-07-19</x:v>
      </x:c>
      <x:c r="AQ81" s="12" t="str">
        <x:v>Alta</x:v>
      </x:c>
      <x:c r="AR81" s="12" t="str">
        <x:v>Inventário mestre completo atualizado em 2026-07-01</x:v>
      </x:c>
      <x:c r="AS81" s="12" t="str">
        <x:v>Precificação individual pendente</x:v>
      </x:c>
      <x:c r="AT81" s="12" t="str">
        <x:v>Avaliação visual; tratamentos não avaliados; confirmar naturalidade/tratamento em laboratório.</x:v>
      </x:c>
    </x:row>
    <x:row r="82">
      <x:c r="A82" s="12" t="str">
        <x:v>DG-EM-081</x:v>
      </x:c>
      <x:c r="B82" s="12" t="str"/>
      <x:c r="C82" s="12" t="str">
        <x:v>Emerald Collection</x:v>
      </x:c>
      <x:c r="D82" s="12" t="str">
        <x:v>Esmeraldas</x:v>
      </x:c>
      <x:c r="E82" s="12" t="str">
        <x:v>Berilo</x:v>
      </x:c>
      <x:c r="F82" s="12" t="str">
        <x:v>Esmeralda</x:v>
      </x:c>
      <x:c r="G82" s="12" t="str">
        <x:v>Gema individual</x:v>
      </x:c>
      <x:c r="H82" s="18" t="n">
        <x:v>1</x:v>
      </x:c>
      <x:c r="I82" s="12" t="str">
        <x:v>Redondo brilhante</x:v>
      </x:c>
      <x:c r="J82" s="12" t="str">
        <x:v>5 x 5 x 4</x:v>
      </x:c>
      <x:c r="K82" s="14" t="n">
        <x:v>0.545</x:v>
      </x:c>
      <x:c r="L82" s="12" t="str">
        <x:v>Sim</x:v>
      </x:c>
      <x:c r="M82" s="12" t="str">
        <x:v>Balança / informado</x:v>
      </x:c>
      <x:c r="N82" s="12" t="str">
        <x:v>Verde médio a intenso</x:v>
      </x:c>
      <x:c r="O82" s="12" t="str">
        <x:v>Semi-transparente a translúcida</x:v>
      </x:c>
      <x:c r="P82" s="12" t="str"/>
      <x:c r="Q82" s="12" t="str">
        <x:v>Não avaliado / não informado</x:v>
      </x:c>
      <x:c r="R82" s="12" t="str">
        <x:v>Não</x:v>
      </x:c>
      <x:c r="S82" s="12" t="str"/>
      <x:c r="T82" s="12" t="str"/>
      <x:c r="U82" s="20"/>
      <x:c r="V82" s="20"/>
      <x:c r="W82" s="20"/>
      <x:c r="X82" s="20"/>
      <x:c r="Y82" s="20"/>
      <x:c r="Z82" s="20"/>
      <x:c r="AA82" s="20"/>
      <x:c r="AB82" s="12" t="str">
        <x:v>Pendente de precificação individual</x:v>
      </x:c>
      <x:c r="AC82" s="16" t="n">
        <x:v>8</x:v>
      </x:c>
      <x:c r="AD82" s="12" t="str">
        <x:v>B</x:v>
      </x:c>
      <x:c r="AE82" s="12" t="str">
        <x:v>A definir</x:v>
      </x:c>
      <x:c r="AF82" s="12" t="str">
        <x:v>Anel delicado / pingente pequeno / brinco</x:v>
      </x:c>
      <x:c r="AG82" s="12" t="str">
        <x:v>Anel delicado / pingente pequeno / brinco</x:v>
      </x:c>
      <x:c r="AH82" s="12" t="str">
        <x:v>Coleção</x:v>
      </x:c>
      <x:c r="AI82" s="12" t="str"/>
      <x:c r="AJ82" s="12" t="str"/>
      <x:c r="AK82" s="12" t="str"/>
      <x:c r="AL82" s="12" t="str"/>
      <x:c r="AM82" s="12" t="str">
        <x:v>Não informado</x:v>
      </x:c>
      <x:c r="AN82" s="12" t="str"/>
      <x:c r="AO82" s="12" t="str">
        <x:v>2026-07-01</x:v>
      </x:c>
      <x:c r="AP82" s="12" t="str">
        <x:v>2026-07-19</x:v>
      </x:c>
      <x:c r="AQ82" s="12" t="str">
        <x:v>Alta</x:v>
      </x:c>
      <x:c r="AR82" s="12" t="str">
        <x:v>Inventário mestre completo atualizado em 2026-07-01</x:v>
      </x:c>
      <x:c r="AS82" s="12" t="str">
        <x:v>Precificação individual pendente</x:v>
      </x:c>
      <x:c r="AT82" s="12" t="str">
        <x:v>Avaliação visual; tratamentos não avaliados; confirmar naturalidade/tratamento em laboratório.</x:v>
      </x:c>
    </x:row>
    <x:row r="83">
      <x:c r="A83" s="12" t="str">
        <x:v>DG-EM-082</x:v>
      </x:c>
      <x:c r="B83" s="12" t="str"/>
      <x:c r="C83" s="12" t="str">
        <x:v>Emerald Collection</x:v>
      </x:c>
      <x:c r="D83" s="12" t="str">
        <x:v>Esmeraldas</x:v>
      </x:c>
      <x:c r="E83" s="12" t="str">
        <x:v>Berilo</x:v>
      </x:c>
      <x:c r="F83" s="12" t="str">
        <x:v>Esmeralda</x:v>
      </x:c>
      <x:c r="G83" s="12" t="str">
        <x:v>Lote</x:v>
      </x:c>
      <x:c r="H83" s="18"/>
      <x:c r="I83" s="12" t="str">
        <x:v>Cabochões e lapidações mistas</x:v>
      </x:c>
      <x:c r="J83" s="12" t="str">
        <x:v>Diversas</x:v>
      </x:c>
      <x:c r="K83" s="14" t="n">
        <x:v>20.96</x:v>
      </x:c>
      <x:c r="L83" s="12" t="str">
        <x:v>Sim</x:v>
      </x:c>
      <x:c r="M83" s="12" t="str">
        <x:v>Balança / informado</x:v>
      </x:c>
      <x:c r="N83" s="12" t="str">
        <x:v>Verdes variados</x:v>
      </x:c>
      <x:c r="O83" s="12" t="str">
        <x:v>Semi-transparente a translúcida</x:v>
      </x:c>
      <x:c r="P83" s="12" t="str"/>
      <x:c r="Q83" s="12" t="str">
        <x:v>Não avaliado / não informado</x:v>
      </x:c>
      <x:c r="R83" s="12" t="str">
        <x:v>Não</x:v>
      </x:c>
      <x:c r="S83" s="12" t="str"/>
      <x:c r="T83" s="12" t="str"/>
      <x:c r="U83" s="20"/>
      <x:c r="V83" s="20"/>
      <x:c r="W83" s="20"/>
      <x:c r="X83" s="20"/>
      <x:c r="Y83" s="20"/>
      <x:c r="Z83" s="20"/>
      <x:c r="AA83" s="20"/>
      <x:c r="AB83" s="12" t="str">
        <x:v>Pendente de precificação individual</x:v>
      </x:c>
      <x:c r="AC83" s="16" t="n">
        <x:v>7</x:v>
      </x:c>
      <x:c r="AD83" s="12" t="str">
        <x:v>Lote Comercial</x:v>
      </x:c>
      <x:c r="AE83" s="12" t="str">
        <x:v>A definir</x:v>
      </x:c>
      <x:c r="AF83" s="12" t="str">
        <x:v>Produção de joias em prata / linha acessível</x:v>
      </x:c>
      <x:c r="AG83" s="12" t="str">
        <x:v>Produção de joias em prata / linha acessível</x:v>
      </x:c>
      <x:c r="AH83" s="12" t="str">
        <x:v>Estoque para produção</x:v>
      </x:c>
      <x:c r="AI83" s="12" t="str"/>
      <x:c r="AJ83" s="12" t="str"/>
      <x:c r="AK83" s="12" t="str"/>
      <x:c r="AL83" s="12" t="str"/>
      <x:c r="AM83" s="12" t="str">
        <x:v>Não informado</x:v>
      </x:c>
      <x:c r="AN83" s="12" t="str"/>
      <x:c r="AO83" s="12" t="str">
        <x:v>2026-07-01</x:v>
      </x:c>
      <x:c r="AP83" s="12" t="str">
        <x:v>2026-07-19</x:v>
      </x:c>
      <x:c r="AQ83" s="12" t="str">
        <x:v>Alta</x:v>
      </x:c>
      <x:c r="AR83" s="12" t="str">
        <x:v>Inventário mestre completo atualizado em 2026-07-01</x:v>
      </x:c>
      <x:c r="AS83" s="12" t="str">
        <x:v>Precificação individual pendente</x:v>
      </x:c>
      <x:c r="AT83" s="12" t="str">
        <x:v>Avaliação visual; tratamentos não avaliados; confirmar naturalidade/tratamento em laboratório. Lote único de 20,960 ct para joias em prata/linha acessível; futuras peças devem ser registradas como DG-J-xxx.</x:v>
      </x:c>
    </x:row>
  </x:sheetData>
  <x:conditionalFormatting sqref="K2:K83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{52B2B3B8-EF2E-54C3-632C-D2A9E85EDE83}</x14:id>
        </x:ext>
      </x:extLst>
    </x:cfRule>
  </x:conditionalFormatting>
  <x:conditionalFormatting sqref="AC2:AC83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83">
    <x:cfRule type="expression" dxfId="2" priority="3">
      <x:formula>AB2="Pendente de precificação individual"</x:formula>
    </x:cfRule>
  </x:conditionalFormatting>
  <x:conditionalFormatting sqref="AS2:AS83">
    <x:cfRule type="expression" dxfId="3" priority="4">
      <x:formula>LEN(AS2)&gt;0</x:formula>
    </x:cfRule>
  </x:conditionalFormatting>
  <x:dataValidations count="2">
    <x:dataValidation type="list" sqref="AH2:AH83">
      <x:formula1>"Coleção,Estoque,Estoque para produção,Em identificação,Em certificação,Em joia,Vendido"</x:formula1>
    </x:dataValidation>
    <x:dataValidation type="list" sqref="AE2:AE83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82b41211c445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B2B3B8-EF2E-54C3-632C-D2A9E85EDE83}">
            <x14:dataBar gradient="1">
              <x14:cfvo type="min"/>
              <x14:cfvo type="max"/>
              <x14:fillColor rgb="FF4C8A72"/>
            </x14:dataBar>
          </x14:cfRule>
          <xm:sqref>K2:K83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DG-TR-001</x:v>
      </x:c>
      <x:c r="B2" s="12" t="str"/>
      <x:c r="C2" s="12" t="str">
        <x:v>Tourmaline Collection</x:v>
      </x:c>
      <x:c r="D2" s="12" t="str">
        <x:v>Turmalinas</x:v>
      </x:c>
      <x:c r="E2" s="12" t="str">
        <x:v>Elbaíta</x:v>
      </x:c>
      <x:c r="F2" s="12" t="str">
        <x:v>Turmalina Rosa</x:v>
      </x:c>
      <x:c r="G2" s="12" t="str">
        <x:v>Gema individual</x:v>
      </x:c>
      <x:c r="H2" s="18" t="n">
        <x:v>1</x:v>
      </x:c>
      <x:c r="I2" s="12" t="str">
        <x:v>Gota / Pear</x:v>
      </x:c>
      <x:c r="J2" s="12" t="str">
        <x:v>5 x 3 x 2</x:v>
      </x:c>
      <x:c r="K2" s="14" t="n">
        <x:v>0.16</x:v>
      </x:c>
      <x:c r="L2" s="12" t="str">
        <x:v>Sim</x:v>
      </x:c>
      <x:c r="M2" s="12" t="str">
        <x:v>Balança / informado</x:v>
      </x:c>
      <x:c r="N2" s="12" t="str">
        <x:v>Rosa intenso tendendo ao magenta</x:v>
      </x:c>
      <x:c r="O2" s="12" t="str">
        <x:v>Transparente</x:v>
      </x:c>
      <x:c r="P2" s="12" t="str">
        <x:v>Não informada</x:v>
      </x:c>
      <x:c r="Q2" s="12" t="str">
        <x:v>Não avaliado / não informado</x:v>
      </x:c>
      <x:c r="R2" s="12" t="str">
        <x:v>Não</x:v>
      </x:c>
      <x:c r="S2" s="12" t="str"/>
      <x:c r="T2" s="12" t="str"/>
      <x:c r="U2" s="20"/>
      <x:c r="V2" s="20" t="n">
        <x:v>120</x:v>
      </x:c>
      <x:c r="W2" s="20" t="n">
        <x:v>250</x:v>
      </x:c>
      <x:c r="X2" s="20" t="n">
        <x:v>250</x:v>
      </x:c>
      <x:c r="Y2" s="20" t="n">
        <x:v>500</x:v>
      </x:c>
      <x:c r="Z2" s="20" t="n">
        <x:v>1200</x:v>
      </x:c>
      <x:c r="AA2" s="20" t="n">
        <x:v>3000</x:v>
      </x:c>
      <x:c r="AB2" s="12" t="str">
        <x:v>Registrado no histórico</x:v>
      </x:c>
      <x:c r="AC2" s="16" t="n">
        <x:v>9.3</x:v>
      </x:c>
      <x:c r="AD2" s="12" t="str">
        <x:v>A</x:v>
      </x:c>
      <x:c r="AE2" s="12" t="str">
        <x:v>Média</x:v>
      </x:c>
      <x:c r="AF2" s="12" t="str">
        <x:v>Pingente delicado, brinco ou anel minimalista</x:v>
      </x:c>
      <x:c r="AG2" s="12" t="str">
        <x:v>Coleção / Joalheria</x:v>
      </x:c>
      <x:c r="AH2" s="12" t="str">
        <x:v>Coleção</x:v>
      </x:c>
      <x:c r="AI2" s="12" t="str">
        <x:v>TR-01</x:v>
      </x:c>
      <x:c r="AJ2" s="12" t="str">
        <x:v>TR-01</x:v>
      </x:c>
      <x:c r="AK2" s="12" t="str">
        <x:v>A</x:v>
      </x:c>
      <x:c r="AL2" s="12" t="str">
        <x:v>Caixa TR-01 / Envelope TR-01 / Posição A</x:v>
      </x:c>
      <x:c r="AM2" s="12" t="str">
        <x:v>Confirmada</x:v>
      </x:c>
      <x:c r="AN2" s="12" t="str">
        <x:v>IMG_0357F68B-EB26-4D1A-96B3-7A5BD62FB80F.jpeg; IMG_A7B5BEDC-90E9-487D-BDD7-2B38C985DE01.jpeg</x:v>
      </x:c>
      <x:c r="AO2" s="12" t="str">
        <x:v>2026-07-01</x:v>
      </x:c>
      <x:c r="AP2" s="12" t="str">
        <x:v>2026-07-19</x:v>
      </x:c>
      <x:c r="AQ2" s="12" t="str">
        <x:v>Alta</x:v>
      </x:c>
      <x:c r="AR2" s="12" t="str">
        <x:v>Histórico de catalogação das turmalinas rosas em 2026-07-01</x:v>
      </x:c>
      <x:c r="AS2" s="12" t="str">
        <x:v>Avaliar certificação</x:v>
      </x:c>
      <x:c r="AT2" s="12" t="str">
        <x:v>Boa saturação para o tamanho; primeira pedra do envelope TR-01.</x:v>
      </x:c>
    </x:row>
    <x:row r="3">
      <x:c r="A3" s="12" t="str">
        <x:v>DG-TR-002</x:v>
      </x:c>
      <x:c r="B3" s="12" t="str"/>
      <x:c r="C3" s="12" t="str">
        <x:v>Tourmaline Collection</x:v>
      </x:c>
      <x:c r="D3" s="12" t="str">
        <x:v>Turmalinas</x:v>
      </x:c>
      <x:c r="E3" s="12" t="str">
        <x:v>Elbaíta</x:v>
      </x:c>
      <x:c r="F3" s="12" t="str">
        <x:v>Turmalina Rosa</x:v>
      </x:c>
      <x:c r="G3" s="12" t="str">
        <x:v>Gema individual</x:v>
      </x:c>
      <x:c r="H3" s="18" t="n">
        <x:v>1</x:v>
      </x:c>
      <x:c r="I3" s="12" t="str">
        <x:v>Gota / Pear</x:v>
      </x:c>
      <x:c r="J3" s="12" t="str">
        <x:v>5 x 3 x 2</x:v>
      </x:c>
      <x:c r="K3" s="14" t="n">
        <x:v>0.15</x:v>
      </x:c>
      <x:c r="L3" s="12" t="str">
        <x:v>Sim</x:v>
      </x:c>
      <x:c r="M3" s="12" t="str">
        <x:v>Balança / informado</x:v>
      </x:c>
      <x:c r="N3" s="12" t="str">
        <x:v>Rosa médio com leve tendência ao magenta</x:v>
      </x:c>
      <x:c r="O3" s="12" t="str">
        <x:v>Transparente</x:v>
      </x:c>
      <x:c r="P3" s="12" t="str">
        <x:v>Não informada</x:v>
      </x:c>
      <x:c r="Q3" s="12" t="str">
        <x:v>Não avaliado / não informado</x:v>
      </x:c>
      <x:c r="R3" s="12" t="str">
        <x:v>Não</x:v>
      </x:c>
      <x:c r="S3" s="12" t="str"/>
      <x:c r="T3" s="12" t="str"/>
      <x:c r="U3" s="20"/>
      <x:c r="V3" s="20" t="n">
        <x:v>100</x:v>
      </x:c>
      <x:c r="W3" s="20" t="n">
        <x:v>220</x:v>
      </x:c>
      <x:c r="X3" s="20" t="n">
        <x:v>220</x:v>
      </x:c>
      <x:c r="Y3" s="20" t="n">
        <x:v>450</x:v>
      </x:c>
      <x:c r="Z3" s="20" t="n">
        <x:v>1000</x:v>
      </x:c>
      <x:c r="AA3" s="20" t="n">
        <x:v>2500</x:v>
      </x:c>
      <x:c r="AB3" s="12" t="str">
        <x:v>Registrado no histórico</x:v>
      </x:c>
      <x:c r="AC3" s="16" t="n">
        <x:v>9</x:v>
      </x:c>
      <x:c r="AD3" s="12" t="str">
        <x:v>A-</x:v>
      </x:c>
      <x:c r="AE3" s="12" t="str">
        <x:v>Baixa</x:v>
      </x:c>
      <x:c r="AF3" s="12" t="str">
        <x:v>Par/composição com DG-TR-001</x:v>
      </x:c>
      <x:c r="AG3" s="12" t="str">
        <x:v>Coleção / Joalheria</x:v>
      </x:c>
      <x:c r="AH3" s="12" t="str">
        <x:v>Coleção</x:v>
      </x:c>
      <x:c r="AI3" s="12" t="str">
        <x:v>TR-01</x:v>
      </x:c>
      <x:c r="AJ3" s="12" t="str">
        <x:v>TR-01</x:v>
      </x:c>
      <x:c r="AK3" s="12" t="str">
        <x:v>B</x:v>
      </x:c>
      <x:c r="AL3" s="12" t="str">
        <x:v>Caixa TR-01 / Envelope TR-01 / Posição B</x:v>
      </x:c>
      <x:c r="AM3" s="12" t="str">
        <x:v>Confirmada</x:v>
      </x:c>
      <x:c r="AN3" s="12" t="str">
        <x:v>IMG_FAB89A5A-0446-41C4-A013-C3D2C40DA045.jpeg; IMG_5679A140-BF9A-49A2-AA05-266A00E021BB.jpeg</x:v>
      </x:c>
      <x:c r="AO3" s="12" t="str">
        <x:v>2026-07-01</x:v>
      </x:c>
      <x:c r="AP3" s="12" t="str">
        <x:v>2026-07-19</x:v>
      </x:c>
      <x:c r="AQ3" s="12" t="str">
        <x:v>Alta</x:v>
      </x:c>
      <x:c r="AR3" s="12" t="str">
        <x:v>Histórico de catalogação das turmalinas rosas em 2026-07-01</x:v>
      </x:c>
      <x:c r="AS3" s="12" t="str"/>
      <x:c r="AT3" s="12" t="str">
        <x:v>Tom um pouco mais claro que DG-TR-001; pequena inclusão e leve zoneamento.</x:v>
      </x:c>
    </x:row>
    <x:row r="4">
      <x:c r="A4" s="12" t="str">
        <x:v>DG-TR-003</x:v>
      </x:c>
      <x:c r="B4" s="12" t="str"/>
      <x:c r="C4" s="12" t="str">
        <x:v>Tourmaline Collection</x:v>
      </x:c>
      <x:c r="D4" s="12" t="str">
        <x:v>Turmalinas</x:v>
      </x:c>
      <x:c r="E4" s="12" t="str">
        <x:v>Elbaíta</x:v>
      </x:c>
      <x:c r="F4" s="12" t="str">
        <x:v>Turmalina Rosa</x:v>
      </x:c>
      <x:c r="G4" s="12" t="str">
        <x:v>Gema individual</x:v>
      </x:c>
      <x:c r="H4" s="18" t="n">
        <x:v>1</x:v>
      </x:c>
      <x:c r="I4" s="12" t="str">
        <x:v>Retangular / Baguete / Step Cut</x:v>
      </x:c>
      <x:c r="J4" s="12" t="str">
        <x:v>5 x 3 x 2</x:v>
      </x:c>
      <x:c r="K4" s="14" t="n">
        <x:v>0.165</x:v>
      </x:c>
      <x:c r="L4" s="12" t="str">
        <x:v>Sim</x:v>
      </x:c>
      <x:c r="M4" s="12" t="str">
        <x:v>Balança / informado</x:v>
      </x:c>
      <x:c r="N4" s="12" t="str">
        <x:v>Rosa claro levemente lilás</x:v>
      </x:c>
      <x:c r="O4" s="12" t="str">
        <x:v>Transparente</x:v>
      </x:c>
      <x:c r="P4" s="12" t="str">
        <x:v>Não informada</x:v>
      </x:c>
      <x:c r="Q4" s="12" t="str">
        <x:v>Não avaliado / não informado</x:v>
      </x:c>
      <x:c r="R4" s="12" t="str">
        <x:v>Não</x:v>
      </x:c>
      <x:c r="S4" s="12" t="str"/>
      <x:c r="T4" s="12" t="str"/>
      <x:c r="U4" s="20"/>
      <x:c r="V4" s="20" t="n">
        <x:v>120</x:v>
      </x:c>
      <x:c r="W4" s="20" t="n">
        <x:v>250</x:v>
      </x:c>
      <x:c r="X4" s="20" t="n">
        <x:v>250</x:v>
      </x:c>
      <x:c r="Y4" s="20" t="n">
        <x:v>500</x:v>
      </x:c>
      <x:c r="Z4" s="20" t="n">
        <x:v>1200</x:v>
      </x:c>
      <x:c r="AA4" s="20" t="n">
        <x:v>2800</x:v>
      </x:c>
      <x:c r="AB4" s="12" t="str">
        <x:v>Registrado no histórico</x:v>
      </x:c>
      <x:c r="AC4" s="16" t="n">
        <x:v>8.8</x:v>
      </x:c>
      <x:c r="AD4" s="12" t="str">
        <x:v>A-</x:v>
      </x:c>
      <x:c r="AE4" s="12" t="str">
        <x:v>Baixa</x:v>
      </x:c>
      <x:c r="AF4" s="12" t="str">
        <x:v>Joia geométrica contemporânea</x:v>
      </x:c>
      <x:c r="AG4" s="12" t="str">
        <x:v>Coleção / Joalheria</x:v>
      </x:c>
      <x:c r="AH4" s="12" t="str">
        <x:v>Coleção</x:v>
      </x:c>
      <x:c r="AI4" s="12" t="str">
        <x:v>TR-01</x:v>
      </x:c>
      <x:c r="AJ4" s="12" t="str">
        <x:v>TR-02</x:v>
      </x:c>
      <x:c r="AK4" s="12" t="str">
        <x:v>A</x:v>
      </x:c>
      <x:c r="AL4" s="12" t="str">
        <x:v>Caixa TR-01 / Envelope TR-02 / Posição A</x:v>
      </x:c>
      <x:c r="AM4" s="12" t="str">
        <x:v>Confirmada</x:v>
      </x:c>
      <x:c r="AN4" s="12" t="str">
        <x:v>IMG_B26C7B50-B682-4B93-81A6-F363D4799FC8.jpeg; IMG_670B6F84-28C8-4EDB-A2DD-B32764F3D35D.jpeg</x:v>
      </x:c>
      <x:c r="AO4" s="12" t="str">
        <x:v>2026-07-01</x:v>
      </x:c>
      <x:c r="AP4" s="12" t="str">
        <x:v>2026-07-19</x:v>
      </x:c>
      <x:c r="AQ4" s="12" t="str">
        <x:v>Alta</x:v>
      </x:c>
      <x:c r="AR4" s="12" t="str">
        <x:v>Histórico de catalogação das turmalinas rosas em 2026-07-01</x:v>
      </x:c>
      <x:c r="AS4" s="12" t="str"/>
      <x:c r="AT4" s="12" t="str">
        <x:v>Boa transparência; possível leve janela central.</x:v>
      </x:c>
    </x:row>
    <x:row r="5">
      <x:c r="A5" s="12" t="str">
        <x:v>DG-TR-004</x:v>
      </x:c>
      <x:c r="B5" s="12" t="str"/>
      <x:c r="C5" s="12" t="str">
        <x:v>Tourmaline Collection</x:v>
      </x:c>
      <x:c r="D5" s="12" t="str">
        <x:v>Turmalinas</x:v>
      </x:c>
      <x:c r="E5" s="12" t="str">
        <x:v>Elbaíta</x:v>
      </x:c>
      <x:c r="F5" s="12" t="str">
        <x:v>Turmalina Rosa</x:v>
      </x:c>
      <x:c r="G5" s="12" t="str">
        <x:v>Gema individual</x:v>
      </x:c>
      <x:c r="H5" s="18" t="n">
        <x:v>1</x:v>
      </x:c>
      <x:c r="I5" s="12" t="str">
        <x:v>Gota / Pear Brilliant</x:v>
      </x:c>
      <x:c r="J5" s="12" t="str">
        <x:v>7 x 4 x 3</x:v>
      </x:c>
      <x:c r="K5" s="14" t="n">
        <x:v>0.35</x:v>
      </x:c>
      <x:c r="L5" s="12" t="str">
        <x:v>Sim</x:v>
      </x:c>
      <x:c r="M5" s="12" t="str">
        <x:v>Balança / informado</x:v>
      </x:c>
      <x:c r="N5" s="12" t="str">
        <x:v>Rosa médio levemente violáceo</x:v>
      </x:c>
      <x:c r="O5" s="12" t="str">
        <x:v>Transparente a semitransparente</x:v>
      </x:c>
      <x:c r="P5" s="12" t="str">
        <x:v>Não informada</x:v>
      </x:c>
      <x:c r="Q5" s="12" t="str">
        <x:v>Não avaliado / não informado</x:v>
      </x:c>
      <x:c r="R5" s="12" t="str">
        <x:v>Não</x:v>
      </x:c>
      <x:c r="S5" s="12" t="str"/>
      <x:c r="T5" s="12" t="str"/>
      <x:c r="U5" s="20"/>
      <x:c r="V5" s="20" t="n">
        <x:v>180</x:v>
      </x:c>
      <x:c r="W5" s="20" t="n">
        <x:v>350</x:v>
      </x:c>
      <x:c r="X5" s="20" t="n">
        <x:v>400</x:v>
      </x:c>
      <x:c r="Y5" s="20" t="n">
        <x:v>700</x:v>
      </x:c>
      <x:c r="Z5" s="20" t="n">
        <x:v>2000</x:v>
      </x:c>
      <x:c r="AA5" s="20" t="n">
        <x:v>4000</x:v>
      </x:c>
      <x:c r="AB5" s="12" t="str">
        <x:v>Registrado no histórico</x:v>
      </x:c>
      <x:c r="AC5" s="16" t="n">
        <x:v>8.6</x:v>
      </x:c>
      <x:c r="AD5" s="12" t="str">
        <x:v>A-</x:v>
      </x:c>
      <x:c r="AE5" s="12" t="str">
        <x:v>Média</x:v>
      </x:c>
      <x:c r="AF5" s="12" t="str">
        <x:v>Pingente, brinco ou anel com halo</x:v>
      </x:c>
      <x:c r="AG5" s="12" t="str">
        <x:v>Coleção / Joalheria</x:v>
      </x:c>
      <x:c r="AH5" s="12" t="str">
        <x:v>Coleção</x:v>
      </x:c>
      <x:c r="AI5" s="12" t="str">
        <x:v>TR-01</x:v>
      </x:c>
      <x:c r="AJ5" s="12" t="str">
        <x:v>TR-02</x:v>
      </x:c>
      <x:c r="AK5" s="12" t="str">
        <x:v>B</x:v>
      </x:c>
      <x:c r="AL5" s="12" t="str">
        <x:v>Caixa TR-01 / Envelope TR-02 / Posição B</x:v>
      </x:c>
      <x:c r="AM5" s="12" t="str">
        <x:v>Confirmada</x:v>
      </x:c>
      <x:c r="AN5" s="12" t="str">
        <x:v>IMG_DE0FAD81-7254-4041-B1AE-2E575B648517.jpeg; IMG_145C1155-25C7-4313-94EA-DFD1D128CFD4.jpeg</x:v>
      </x:c>
      <x:c r="AO5" s="12" t="str">
        <x:v>2026-07-01</x:v>
      </x:c>
      <x:c r="AP5" s="12" t="str">
        <x:v>2026-07-19</x:v>
      </x:c>
      <x:c r="AQ5" s="12" t="str">
        <x:v>Alta</x:v>
      </x:c>
      <x:c r="AR5" s="12" t="str">
        <x:v>Histórico de catalogação das turmalinas rosas em 2026-07-01</x:v>
      </x:c>
      <x:c r="AS5" s="12" t="str">
        <x:v>Avaliar certificação</x:v>
      </x:c>
      <x:c r="AT5" s="12" t="str">
        <x:v>Tamanho interessante; inclusões e fraturas cicatrizadas visíveis.</x:v>
      </x:c>
    </x:row>
    <x:row r="6">
      <x:c r="A6" s="12" t="str">
        <x:v>DG-TR-005</x:v>
      </x:c>
      <x:c r="B6" s="12" t="str"/>
      <x:c r="C6" s="12" t="str">
        <x:v>Tourmaline Collection</x:v>
      </x:c>
      <x:c r="D6" s="12" t="str">
        <x:v>Turmalinas</x:v>
      </x:c>
      <x:c r="E6" s="12" t="str">
        <x:v>Elbaíta</x:v>
      </x:c>
      <x:c r="F6" s="12" t="str">
        <x:v>Turmalina Rosa</x:v>
      </x:c>
      <x:c r="G6" s="12" t="str">
        <x:v>Gema individual</x:v>
      </x:c>
      <x:c r="H6" s="18" t="n">
        <x:v>1</x:v>
      </x:c>
      <x:c r="I6" s="12" t="str">
        <x:v>Gota / Pear Brilliant</x:v>
      </x:c>
      <x:c r="J6" s="12" t="str">
        <x:v>7 x 4 x 3</x:v>
      </x:c>
      <x:c r="K6" s="14" t="n">
        <x:v>0.275</x:v>
      </x:c>
      <x:c r="L6" s="12" t="str">
        <x:v>Sim</x:v>
      </x:c>
      <x:c r="M6" s="12" t="str">
        <x:v>Balança / informado</x:v>
      </x:c>
      <x:c r="N6" s="12" t="str">
        <x:v>Rosa médio com matiz violáceo</x:v>
      </x:c>
      <x:c r="O6" s="12" t="str">
        <x:v>Semitransparente</x:v>
      </x:c>
      <x:c r="P6" s="12" t="str">
        <x:v>Não informada</x:v>
      </x:c>
      <x:c r="Q6" s="12" t="str">
        <x:v>Não avaliado / não informado</x:v>
      </x:c>
      <x:c r="R6" s="12" t="str">
        <x:v>Não</x:v>
      </x:c>
      <x:c r="S6" s="12" t="str"/>
      <x:c r="T6" s="12" t="str"/>
      <x:c r="U6" s="20"/>
      <x:c r="V6" s="20" t="n">
        <x:v>150</x:v>
      </x:c>
      <x:c r="W6" s="20" t="n">
        <x:v>300</x:v>
      </x:c>
      <x:c r="X6" s="20" t="n">
        <x:v>350</x:v>
      </x:c>
      <x:c r="Y6" s="20" t="n">
        <x:v>600</x:v>
      </x:c>
      <x:c r="Z6" s="20" t="n">
        <x:v>1800</x:v>
      </x:c>
      <x:c r="AA6" s="20" t="n">
        <x:v>3500</x:v>
      </x:c>
      <x:c r="AB6" s="12" t="str">
        <x:v>Registrado no histórico</x:v>
      </x:c>
      <x:c r="AC6" s="16" t="n">
        <x:v>8.4</x:v>
      </x:c>
      <x:c r="AD6" s="12" t="str">
        <x:v>B+</x:v>
      </x:c>
      <x:c r="AE6" s="12" t="str">
        <x:v>Baixa</x:v>
      </x:c>
      <x:c r="AF6" s="12" t="str">
        <x:v>Brincos delicados ou pingente</x:v>
      </x:c>
      <x:c r="AG6" s="12" t="str">
        <x:v>Coleção / Joalheria</x:v>
      </x:c>
      <x:c r="AH6" s="12" t="str">
        <x:v>Coleção</x:v>
      </x:c>
      <x:c r="AI6" s="12" t="str">
        <x:v>TR-01</x:v>
      </x:c>
      <x:c r="AJ6" s="12" t="str">
        <x:v>TR-03</x:v>
      </x:c>
      <x:c r="AK6" s="12" t="str">
        <x:v>A</x:v>
      </x:c>
      <x:c r="AL6" s="12" t="str">
        <x:v>Caixa TR-01 / Envelope TR-03 / Posição A</x:v>
      </x:c>
      <x:c r="AM6" s="12" t="str">
        <x:v>Confirmada</x:v>
      </x:c>
      <x:c r="AN6" s="12" t="str">
        <x:v>IMG_D8DA0F99-0681-4CD2-8C4E-F179286C1CAA.jpeg; IMG_002E3E7B-348C-49DB-81BE-6895A860A72D.jpeg</x:v>
      </x:c>
      <x:c r="AO6" s="12" t="str">
        <x:v>2026-07-01</x:v>
      </x:c>
      <x:c r="AP6" s="12" t="str">
        <x:v>2026-07-19</x:v>
      </x:c>
      <x:c r="AQ6" s="12" t="str">
        <x:v>Alta</x:v>
      </x:c>
      <x:c r="AR6" s="12" t="str">
        <x:v>Histórico de catalogação das turmalinas rosas em 2026-07-01</x:v>
      </x:c>
      <x:c r="AS6" s="12" t="str"/>
      <x:c r="AT6" s="12" t="str">
        <x:v>Inclusões evidentes, pequena janela central e leve extinção.</x:v>
      </x:c>
    </x:row>
    <x:row r="7">
      <x:c r="A7" s="12" t="str">
        <x:v>DG-TR-006</x:v>
      </x:c>
      <x:c r="B7" s="12" t="str"/>
      <x:c r="C7" s="12" t="str">
        <x:v>Tourmaline Collection</x:v>
      </x:c>
      <x:c r="D7" s="12" t="str">
        <x:v>Turmalinas</x:v>
      </x:c>
      <x:c r="E7" s="12" t="str">
        <x:v>Elbaíta</x:v>
      </x:c>
      <x:c r="F7" s="12" t="str">
        <x:v>Turmalina Rosa</x:v>
      </x:c>
      <x:c r="G7" s="12" t="str">
        <x:v>Gema individual</x:v>
      </x:c>
      <x:c r="H7" s="18" t="n">
        <x:v>1</x:v>
      </x:c>
      <x:c r="I7" s="12" t="str">
        <x:v>Gota / Pear Brilliant</x:v>
      </x:c>
      <x:c r="J7" s="12" t="str">
        <x:v>6 x 4 x 3</x:v>
      </x:c>
      <x:c r="K7" s="14" t="n">
        <x:v>0.16</x:v>
      </x:c>
      <x:c r="L7" s="12" t="str">
        <x:v>Sim</x:v>
      </x:c>
      <x:c r="M7" s="12" t="str">
        <x:v>Balança / informado</x:v>
      </x:c>
      <x:c r="N7" s="12" t="str">
        <x:v>Rosa intenso com leve matiz magenta</x:v>
      </x:c>
      <x:c r="O7" s="12" t="str">
        <x:v>Transparente</x:v>
      </x:c>
      <x:c r="P7" s="12" t="str">
        <x:v>Não informada</x:v>
      </x:c>
      <x:c r="Q7" s="12" t="str">
        <x:v>Não avaliado / não informado</x:v>
      </x:c>
      <x:c r="R7" s="12" t="str">
        <x:v>Não</x:v>
      </x:c>
      <x:c r="S7" s="12" t="str"/>
      <x:c r="T7" s="12" t="str"/>
      <x:c r="U7" s="20"/>
      <x:c r="V7" s="20" t="n">
        <x:v>220</x:v>
      </x:c>
      <x:c r="W7" s="20" t="n">
        <x:v>420</x:v>
      </x:c>
      <x:c r="X7" s="20" t="n">
        <x:v>500</x:v>
      </x:c>
      <x:c r="Y7" s="20" t="n">
        <x:v>850</x:v>
      </x:c>
      <x:c r="Z7" s="20" t="n">
        <x:v>2000</x:v>
      </x:c>
      <x:c r="AA7" s="20" t="n">
        <x:v>4000</x:v>
      </x:c>
      <x:c r="AB7" s="12" t="str">
        <x:v>Registrado no histórico</x:v>
      </x:c>
      <x:c r="AC7" s="16" t="n">
        <x:v>8.9</x:v>
      </x:c>
      <x:c r="AD7" s="12" t="str">
        <x:v>A-</x:v>
      </x:c>
      <x:c r="AE7" s="12" t="str">
        <x:v>Média</x:v>
      </x:c>
      <x:c r="AF7" s="12" t="str">
        <x:v>Brincos delicados ou anel floral/vintage</x:v>
      </x:c>
      <x:c r="AG7" s="12" t="str">
        <x:v>Coleção / Joalheria</x:v>
      </x:c>
      <x:c r="AH7" s="12" t="str">
        <x:v>Coleção</x:v>
      </x:c>
      <x:c r="AI7" s="12" t="str">
        <x:v>TR-01</x:v>
      </x:c>
      <x:c r="AJ7" s="12" t="str">
        <x:v>TR-03</x:v>
      </x:c>
      <x:c r="AK7" s="12" t="str">
        <x:v>B</x:v>
      </x:c>
      <x:c r="AL7" s="12" t="str">
        <x:v>Caixa TR-01 / Envelope TR-03 / Posição B</x:v>
      </x:c>
      <x:c r="AM7" s="12" t="str">
        <x:v>Confirmada</x:v>
      </x:c>
      <x:c r="AN7" s="12" t="str">
        <x:v>IMG_8324A061-102D-48A9-B91F-20CBB7705847.jpeg</x:v>
      </x:c>
      <x:c r="AO7" s="12" t="str">
        <x:v>2026-07-01</x:v>
      </x:c>
      <x:c r="AP7" s="12" t="str">
        <x:v>2026-07-19</x:v>
      </x:c>
      <x:c r="AQ7" s="12" t="str">
        <x:v>Alta</x:v>
      </x:c>
      <x:c r="AR7" s="12" t="str">
        <x:v>Histórico de catalogação das turmalinas rosas em 2026-07-01</x:v>
      </x:c>
      <x:c r="AS7" s="12" t="str">
        <x:v>Avaliar certificação</x:v>
      </x:c>
      <x:c r="AT7" s="12" t="str">
        <x:v>Boa saturação, distribuição de cor e retorno de luz.</x:v>
      </x:c>
    </x:row>
    <x:row r="8">
      <x:c r="A8" s="12" t="str">
        <x:v>DG-TR-007</x:v>
      </x:c>
      <x:c r="B8" s="12" t="str"/>
      <x:c r="C8" s="12" t="str">
        <x:v>Tourmaline Collection</x:v>
      </x:c>
      <x:c r="D8" s="12" t="str">
        <x:v>Turmalinas</x:v>
      </x:c>
      <x:c r="E8" s="12" t="str">
        <x:v>Elbaíta</x:v>
      </x:c>
      <x:c r="F8" s="12" t="str">
        <x:v>Turmalina Rosa</x:v>
      </x:c>
      <x:c r="G8" s="12" t="str">
        <x:v>Gema individual</x:v>
      </x:c>
      <x:c r="H8" s="18" t="n">
        <x:v>1</x:v>
      </x:c>
      <x:c r="I8" s="12" t="str">
        <x:v>Gota / Pear Brilliant</x:v>
      </x:c>
      <x:c r="J8" s="12" t="str">
        <x:v>6 x 4 x 3</x:v>
      </x:c>
      <x:c r="K8" s="14" t="n">
        <x:v>0.245</x:v>
      </x:c>
      <x:c r="L8" s="12" t="str">
        <x:v>Sim</x:v>
      </x:c>
      <x:c r="M8" s="12" t="str">
        <x:v>Balança / informado</x:v>
      </x:c>
      <x:c r="N8" s="12" t="str">
        <x:v>Rosa claro a médio, levemente violáceo</x:v>
      </x:c>
      <x:c r="O8" s="12" t="str">
        <x:v>Transparente</x:v>
      </x:c>
      <x:c r="P8" s="12" t="str">
        <x:v>Não informada</x:v>
      </x:c>
      <x:c r="Q8" s="12" t="str">
        <x:v>Não avaliado / não informado</x:v>
      </x:c>
      <x:c r="R8" s="12" t="str">
        <x:v>Não</x:v>
      </x:c>
      <x:c r="S8" s="12" t="str"/>
      <x:c r="T8" s="12" t="str"/>
      <x:c r="U8" s="20"/>
      <x:c r="V8" s="20" t="n">
        <x:v>220</x:v>
      </x:c>
      <x:c r="W8" s="20" t="n">
        <x:v>380</x:v>
      </x:c>
      <x:c r="X8" s="20" t="n">
        <x:v>500</x:v>
      </x:c>
      <x:c r="Y8" s="20" t="n">
        <x:v>800</x:v>
      </x:c>
      <x:c r="Z8" s="20" t="n">
        <x:v>2000</x:v>
      </x:c>
      <x:c r="AA8" s="20" t="n">
        <x:v>4000</x:v>
      </x:c>
      <x:c r="AB8" s="12" t="str">
        <x:v>Registrado no histórico</x:v>
      </x:c>
      <x:c r="AC8" s="16" t="n">
        <x:v>8.7</x:v>
      </x:c>
      <x:c r="AD8" s="12" t="str">
        <x:v>B+</x:v>
      </x:c>
      <x:c r="AE8" s="12" t="str">
        <x:v>Baixa</x:v>
      </x:c>
      <x:c r="AF8" s="12" t="str">
        <x:v>Anel delicado, pingente ou brincos</x:v>
      </x:c>
      <x:c r="AG8" s="12" t="str">
        <x:v>Coleção / Joalheria</x:v>
      </x:c>
      <x:c r="AH8" s="12" t="str">
        <x:v>Coleção</x:v>
      </x:c>
      <x:c r="AI8" s="12" t="str">
        <x:v>TR-01</x:v>
      </x:c>
      <x:c r="AJ8" s="12" t="str">
        <x:v>TR-04</x:v>
      </x:c>
      <x:c r="AK8" s="12" t="str">
        <x:v>A</x:v>
      </x:c>
      <x:c r="AL8" s="12" t="str">
        <x:v>Caixa TR-01 / Envelope TR-04 / Posição A</x:v>
      </x:c>
      <x:c r="AM8" s="12" t="str">
        <x:v>Confirmada</x:v>
      </x:c>
      <x:c r="AN8" s="12" t="str">
        <x:v>IMG_DC5E5997-29F7-4EAA-A903-CAE21DB97DED.jpeg</x:v>
      </x:c>
      <x:c r="AO8" s="12" t="str">
        <x:v>2026-07-01</x:v>
      </x:c>
      <x:c r="AP8" s="12" t="str">
        <x:v>2026-07-19</x:v>
      </x:c>
      <x:c r="AQ8" s="12" t="str">
        <x:v>Alta</x:v>
      </x:c>
      <x:c r="AR8" s="12" t="str">
        <x:v>Histórico de catalogação das turmalinas rosas em 2026-07-01</x:v>
      </x:c>
      <x:c r="AS8" s="12" t="str"/>
      <x:c r="AT8" s="12" t="str">
        <x:v>Boa simetria; inclusões e fraturas naturais perceptíveis.</x:v>
      </x:c>
    </x:row>
    <x:row r="9">
      <x:c r="A9" s="12" t="str">
        <x:v>DG-TR-008</x:v>
      </x:c>
      <x:c r="B9" s="12" t="str"/>
      <x:c r="C9" s="12" t="str">
        <x:v>Tourmaline Collection</x:v>
      </x:c>
      <x:c r="D9" s="12" t="str">
        <x:v>Turmalinas</x:v>
      </x:c>
      <x:c r="E9" s="12" t="str">
        <x:v>Elbaíta</x:v>
      </x:c>
      <x:c r="F9" s="12" t="str">
        <x:v>Turmalina Rosa</x:v>
      </x:c>
      <x:c r="G9" s="12" t="str">
        <x:v>Gema individual</x:v>
      </x:c>
      <x:c r="H9" s="18" t="n">
        <x:v>1</x:v>
      </x:c>
      <x:c r="I9" s="12" t="str">
        <x:v>Retangular / Emerald / Step Cut</x:v>
      </x:c>
      <x:c r="J9" s="12" t="str">
        <x:v>6 x 4 x 3</x:v>
      </x:c>
      <x:c r="K9" s="14" t="n">
        <x:v>0.39</x:v>
      </x:c>
      <x:c r="L9" s="12" t="str">
        <x:v>Sim</x:v>
      </x:c>
      <x:c r="M9" s="12" t="str">
        <x:v>Balança / informado</x:v>
      </x:c>
      <x:c r="N9" s="12" t="str">
        <x:v>Rosa claro com leve tonalidade salmão</x:v>
      </x:c>
      <x:c r="O9" s="12" t="str">
        <x:v>Transparente</x:v>
      </x:c>
      <x:c r="P9" s="12" t="str">
        <x:v>Não informada</x:v>
      </x:c>
      <x:c r="Q9" s="12" t="str">
        <x:v>Não avaliado / não informado</x:v>
      </x:c>
      <x:c r="R9" s="12" t="str">
        <x:v>Não</x:v>
      </x:c>
      <x:c r="S9" s="12" t="str"/>
      <x:c r="T9" s="12" t="str"/>
      <x:c r="U9" s="20"/>
      <x:c r="V9" s="20" t="n">
        <x:v>350</x:v>
      </x:c>
      <x:c r="W9" s="20" t="n">
        <x:v>550</x:v>
      </x:c>
      <x:c r="X9" s="20" t="n">
        <x:v>800</x:v>
      </x:c>
      <x:c r="Y9" s="20" t="n">
        <x:v>1200</x:v>
      </x:c>
      <x:c r="Z9" s="20" t="n">
        <x:v>3000</x:v>
      </x:c>
      <x:c r="AA9" s="20" t="n">
        <x:v>5500</x:v>
      </x:c>
      <x:c r="AB9" s="12" t="str">
        <x:v>Registrado no histórico</x:v>
      </x:c>
      <x:c r="AC9" s="16" t="n">
        <x:v>9</x:v>
      </x:c>
      <x:c r="AD9" s="12" t="str">
        <x:v>A</x:v>
      </x:c>
      <x:c r="AE9" s="12" t="str">
        <x:v>Média</x:v>
      </x:c>
      <x:c r="AF9" s="12" t="str">
        <x:v>Anel solitário minimalista ou pingente moderno</x:v>
      </x:c>
      <x:c r="AG9" s="12" t="str">
        <x:v>Coleção / Joalheria</x:v>
      </x:c>
      <x:c r="AH9" s="12" t="str">
        <x:v>Coleção</x:v>
      </x:c>
      <x:c r="AI9" s="12" t="str">
        <x:v>TR-01</x:v>
      </x:c>
      <x:c r="AJ9" s="12" t="str">
        <x:v>TR-04</x:v>
      </x:c>
      <x:c r="AK9" s="12" t="str">
        <x:v>B</x:v>
      </x:c>
      <x:c r="AL9" s="12" t="str">
        <x:v>Caixa TR-01 / Envelope TR-04 / Posição B</x:v>
      </x:c>
      <x:c r="AM9" s="12" t="str">
        <x:v>Confirmada</x:v>
      </x:c>
      <x:c r="AN9" s="12" t="str">
        <x:v>IMG_21A1B59B-4E60-4707-B0AB-6BE1598B7F29.jpeg; IMG_C8FB69A5-B9FE-4682-9AEC-DB8622C38F7F.jpeg; IMG_48189CA2-5498-4542-9CE5-FCDC3C73ECDC.jpeg</x:v>
      </x:c>
      <x:c r="AO9" s="12" t="str">
        <x:v>2026-07-01</x:v>
      </x:c>
      <x:c r="AP9" s="12" t="str">
        <x:v>2026-07-19</x:v>
      </x:c>
      <x:c r="AQ9" s="12" t="str">
        <x:v>Alta</x:v>
      </x:c>
      <x:c r="AR9" s="12" t="str">
        <x:v>Histórico de catalogação das turmalinas rosas em 2026-07-01</x:v>
      </x:c>
      <x:c r="AS9" s="12" t="str">
        <x:v>Avaliar certificação</x:v>
      </x:c>
      <x:c r="AT9" s="12" t="str">
        <x:v>Lapidação retangular equilibrada; boa transparência e peso para as dimensões.</x:v>
      </x:c>
    </x:row>
    <x:row r="10">
      <x:c r="A10" s="12" t="str">
        <x:v>DG-TR-009</x:v>
      </x:c>
      <x:c r="B10" s="12" t="str"/>
      <x:c r="C10" s="12" t="str">
        <x:v>Tourmaline Collection</x:v>
      </x:c>
      <x:c r="D10" s="12" t="str">
        <x:v>Turmalinas</x:v>
      </x:c>
      <x:c r="E10" s="12" t="str">
        <x:v>Elbaíta</x:v>
      </x:c>
      <x:c r="F10" s="12" t="str">
        <x:v>Turmalina Rosa</x:v>
      </x:c>
      <x:c r="G10" s="12" t="str">
        <x:v>Gema individual</x:v>
      </x:c>
      <x:c r="H10" s="18" t="n">
        <x:v>1</x:v>
      </x:c>
      <x:c r="I10" s="12" t="str">
        <x:v>Retangular / Emerald / Step Cut</x:v>
      </x:c>
      <x:c r="J10" s="12" t="str">
        <x:v>5 x 3 x 3</x:v>
      </x:c>
      <x:c r="K10" s="14" t="n">
        <x:v>0.18</x:v>
      </x:c>
      <x:c r="L10" s="12" t="str">
        <x:v>Sim</x:v>
      </x:c>
      <x:c r="M10" s="12" t="str">
        <x:v>Balança / informado</x:v>
      </x:c>
      <x:c r="N10" s="12" t="str">
        <x:v>Rosa médio-claro</x:v>
      </x:c>
      <x:c r="O10" s="12" t="str">
        <x:v>Transparente</x:v>
      </x:c>
      <x:c r="P10" s="12" t="str">
        <x:v>Não informada</x:v>
      </x:c>
      <x:c r="Q10" s="12" t="str">
        <x:v>Não avaliado / não informado</x:v>
      </x:c>
      <x:c r="R10" s="12" t="str">
        <x:v>Não</x:v>
      </x:c>
      <x:c r="S10" s="12" t="str"/>
      <x:c r="T10" s="12" t="str"/>
      <x:c r="U10" s="20"/>
      <x:c r="V10" s="20" t="n">
        <x:v>180</x:v>
      </x:c>
      <x:c r="W10" s="20" t="n">
        <x:v>320</x:v>
      </x:c>
      <x:c r="X10" s="20" t="n">
        <x:v>450</x:v>
      </x:c>
      <x:c r="Y10" s="20" t="n">
        <x:v>800</x:v>
      </x:c>
      <x:c r="Z10" s="20" t="n">
        <x:v>2000</x:v>
      </x:c>
      <x:c r="AA10" s="20" t="n">
        <x:v>3800</x:v>
      </x:c>
      <x:c r="AB10" s="12" t="str">
        <x:v>Registrado no histórico</x:v>
      </x:c>
      <x:c r="AC10" s="16" t="n">
        <x:v>8.7</x:v>
      </x:c>
      <x:c r="AD10" s="12" t="str">
        <x:v>B+</x:v>
      </x:c>
      <x:c r="AE10" s="12" t="str">
        <x:v>Baixa</x:v>
      </x:c>
      <x:c r="AF10" s="12" t="str">
        <x:v>Anel delicado, pingente ou brinco</x:v>
      </x:c>
      <x:c r="AG10" s="12" t="str">
        <x:v>Coleção / Joalheria</x:v>
      </x:c>
      <x:c r="AH10" s="12" t="str">
        <x:v>Coleção</x:v>
      </x:c>
      <x:c r="AI10" s="12" t="str">
        <x:v>TR-01</x:v>
      </x:c>
      <x:c r="AJ10" s="12" t="str">
        <x:v>TR-05</x:v>
      </x:c>
      <x:c r="AK10" s="12" t="str">
        <x:v>A</x:v>
      </x:c>
      <x:c r="AL10" s="12" t="str">
        <x:v>Caixa TR-01 / Envelope TR-05 / Posição A</x:v>
      </x:c>
      <x:c r="AM10" s="12" t="str">
        <x:v>Confirmada</x:v>
      </x:c>
      <x:c r="AN10" s="12" t="str">
        <x:v>IMG_5E6A2E4B-84CE-43F3-B34C-3F55F031D354.jpeg; IMG_DE927128-0F8E-4A87-9E45-3C3AF1C3D20D.jpeg</x:v>
      </x:c>
      <x:c r="AO10" s="12" t="str">
        <x:v>2026-07-01</x:v>
      </x:c>
      <x:c r="AP10" s="12" t="str">
        <x:v>2026-07-19</x:v>
      </x:c>
      <x:c r="AQ10" s="12" t="str">
        <x:v>Alta</x:v>
      </x:c>
      <x:c r="AR10" s="12" t="str">
        <x:v>Histórico de catalogação das turmalinas rosas em 2026-07-01</x:v>
      </x:c>
      <x:c r="AS10" s="12" t="str"/>
      <x:c r="AT10" s="12" t="str">
        <x:v>Boa proporção; inclusões próximas ao pavilhão e possível janela central.</x:v>
      </x:c>
    </x:row>
    <x:row r="11">
      <x:c r="A11" s="12" t="str">
        <x:v>DG-TR-010</x:v>
      </x:c>
      <x:c r="B11" s="12" t="str"/>
      <x:c r="C11" s="12" t="str">
        <x:v>Tourmaline Collection</x:v>
      </x:c>
      <x:c r="D11" s="12" t="str">
        <x:v>Turmalinas</x:v>
      </x:c>
      <x:c r="E11" s="12" t="str">
        <x:v>Elbaíta</x:v>
      </x:c>
      <x:c r="F11" s="12" t="str">
        <x:v>Turmalina Rosa</x:v>
      </x:c>
      <x:c r="G11" s="12" t="str">
        <x:v>Gema individual</x:v>
      </x:c>
      <x:c r="H11" s="18" t="n">
        <x:v>1</x:v>
      </x:c>
      <x:c r="I11" s="12" t="str">
        <x:v>Retangular / Emerald / Step Cut</x:v>
      </x:c>
      <x:c r="J11" s="12" t="str">
        <x:v>5 x 3 x 2</x:v>
      </x:c>
      <x:c r="K11" s="14" t="n">
        <x:v>0.15</x:v>
      </x:c>
      <x:c r="L11" s="12" t="str">
        <x:v>Sim</x:v>
      </x:c>
      <x:c r="M11" s="12" t="str">
        <x:v>Balança / informado</x:v>
      </x:c>
      <x:c r="N11" s="12" t="str">
        <x:v>Rosa claro</x:v>
      </x:c>
      <x:c r="O11" s="12" t="str">
        <x:v>Transparente</x:v>
      </x:c>
      <x:c r="P11" s="12" t="str">
        <x:v>Não informada</x:v>
      </x:c>
      <x:c r="Q11" s="12" t="str">
        <x:v>Não avaliado / não informado</x:v>
      </x:c>
      <x:c r="R11" s="12" t="str">
        <x:v>Não</x:v>
      </x:c>
      <x:c r="S11" s="12" t="str"/>
      <x:c r="T11" s="12" t="str"/>
      <x:c r="U11" s="20"/>
      <x:c r="V11" s="20" t="n">
        <x:v>150</x:v>
      </x:c>
      <x:c r="W11" s="20" t="n">
        <x:v>280</x:v>
      </x:c>
      <x:c r="X11" s="20" t="n">
        <x:v>380</x:v>
      </x:c>
      <x:c r="Y11" s="20" t="n">
        <x:v>700</x:v>
      </x:c>
      <x:c r="Z11" s="20" t="n">
        <x:v>1800</x:v>
      </x:c>
      <x:c r="AA11" s="20" t="n">
        <x:v>3500</x:v>
      </x:c>
      <x:c r="AB11" s="12" t="str">
        <x:v>Registrado no histórico</x:v>
      </x:c>
      <x:c r="AC11" s="16" t="n">
        <x:v>8.5</x:v>
      </x:c>
      <x:c r="AD11" s="12" t="str">
        <x:v>B+</x:v>
      </x:c>
      <x:c r="AE11" s="12" t="str">
        <x:v>Baixa</x:v>
      </x:c>
      <x:c r="AF11" s="12" t="str">
        <x:v>Joias minimalistas e composições</x:v>
      </x:c>
      <x:c r="AG11" s="12" t="str">
        <x:v>Coleção / Joalheria</x:v>
      </x:c>
      <x:c r="AH11" s="12" t="str">
        <x:v>Coleção</x:v>
      </x:c>
      <x:c r="AI11" s="12" t="str">
        <x:v>TR-01</x:v>
      </x:c>
      <x:c r="AJ11" s="12" t="str">
        <x:v>TR-05</x:v>
      </x:c>
      <x:c r="AK11" s="12" t="str">
        <x:v>B</x:v>
      </x:c>
      <x:c r="AL11" s="12" t="str">
        <x:v>Caixa TR-01 / Envelope TR-05 / Posição B</x:v>
      </x:c>
      <x:c r="AM11" s="12" t="str">
        <x:v>Confirmada</x:v>
      </x:c>
      <x:c r="AN11" s="12" t="str">
        <x:v>IMG_404CF784-F3EC-463F-A7F7-C4A135F09096.jpeg; IMG_C9F5B4C4-D6B4-4ED1-B82D-ACF3B5A97E54.jpeg</x:v>
      </x:c>
      <x:c r="AO11" s="12" t="str">
        <x:v>2026-07-01</x:v>
      </x:c>
      <x:c r="AP11" s="12" t="str">
        <x:v>2026-07-19</x:v>
      </x:c>
      <x:c r="AQ11" s="12" t="str">
        <x:v>Alta</x:v>
      </x:c>
      <x:c r="AR11" s="12" t="str">
        <x:v>Histórico de catalogação das turmalinas rosas em 2026-07-01</x:v>
      </x:c>
      <x:c r="AS11" s="12" t="str"/>
      <x:c r="AT11" s="12" t="str">
        <x:v>Inclusões e fraturas cicatrizadas atravessando a mesa.</x:v>
      </x:c>
    </x:row>
    <x:row r="12">
      <x:c r="A12" s="12" t="str">
        <x:v>DG-TR-011</x:v>
      </x:c>
      <x:c r="B12" s="12" t="str"/>
      <x:c r="C12" s="12" t="str">
        <x:v>Tourmaline Collection</x:v>
      </x:c>
      <x:c r="D12" s="12" t="str">
        <x:v>Turmalinas</x:v>
      </x:c>
      <x:c r="E12" s="12" t="str">
        <x:v>Elbaíta</x:v>
      </x:c>
      <x:c r="F12" s="12" t="str">
        <x:v>Turmalina Rosa</x:v>
      </x:c>
      <x:c r="G12" s="12" t="str">
        <x:v>Gema individual</x:v>
      </x:c>
      <x:c r="H12" s="18" t="n">
        <x:v>1</x:v>
      </x:c>
      <x:c r="I12" s="12" t="str">
        <x:v>Quadrada / Step Cut / Cushion quadrado</x:v>
      </x:c>
      <x:c r="J12" s="12" t="str">
        <x:v>5 x 5 x 3</x:v>
      </x:c>
      <x:c r="K12" s="14" t="n">
        <x:v>0.245</x:v>
      </x:c>
      <x:c r="L12" s="12" t="str">
        <x:v>Sim</x:v>
      </x:c>
      <x:c r="M12" s="12" t="str">
        <x:v>Balança / informado</x:v>
      </x:c>
      <x:c r="N12" s="12" t="str">
        <x:v>Rosa claro</x:v>
      </x:c>
      <x:c r="O12" s="12" t="str">
        <x:v>Transparente a translúcida</x:v>
      </x:c>
      <x:c r="P12" s="12" t="str">
        <x:v>Não informada</x:v>
      </x:c>
      <x:c r="Q12" s="12" t="str">
        <x:v>Não avaliado / não informado</x:v>
      </x:c>
      <x:c r="R12" s="12" t="str">
        <x:v>Não</x:v>
      </x:c>
      <x:c r="S12" s="12" t="str"/>
      <x:c r="T12" s="12" t="str"/>
      <x:c r="U12" s="20"/>
      <x:c r="V12" s="20" t="n">
        <x:v>140</x:v>
      </x:c>
      <x:c r="W12" s="20" t="n">
        <x:v>260</x:v>
      </x:c>
      <x:c r="X12" s="20" t="n">
        <x:v>350</x:v>
      </x:c>
      <x:c r="Y12" s="20" t="n">
        <x:v>650</x:v>
      </x:c>
      <x:c r="Z12" s="20" t="n">
        <x:v>1600</x:v>
      </x:c>
      <x:c r="AA12" s="20" t="n">
        <x:v>3200</x:v>
      </x:c>
      <x:c r="AB12" s="12" t="str">
        <x:v>Registrado no histórico</x:v>
      </x:c>
      <x:c r="AC12" s="16" t="n">
        <x:v>8.3</x:v>
      </x:c>
      <x:c r="AD12" s="12" t="str">
        <x:v>B+</x:v>
      </x:c>
      <x:c r="AE12" s="12" t="str">
        <x:v>Baixa</x:v>
      </x:c>
      <x:c r="AF12" s="12" t="str">
        <x:v>Anel delicado ou pingente geométrico</x:v>
      </x:c>
      <x:c r="AG12" s="12" t="str">
        <x:v>Coleção / Joalheria</x:v>
      </x:c>
      <x:c r="AH12" s="12" t="str">
        <x:v>Coleção</x:v>
      </x:c>
      <x:c r="AI12" s="12" t="str">
        <x:v>TR-01</x:v>
      </x:c>
      <x:c r="AJ12" s="12" t="str">
        <x:v>TR-06</x:v>
      </x:c>
      <x:c r="AK12" s="12" t="str">
        <x:v>A</x:v>
      </x:c>
      <x:c r="AL12" s="12" t="str">
        <x:v>Caixa TR-01 / Envelope TR-06 / Posição A</x:v>
      </x:c>
      <x:c r="AM12" s="12" t="str">
        <x:v>Confirmada</x:v>
      </x:c>
      <x:c r="AN12" s="12" t="str">
        <x:v>IMG_071B5E6A-472A-4C5B-9833-F15E224972C8.jpeg</x:v>
      </x:c>
      <x:c r="AO12" s="12" t="str">
        <x:v>2026-07-01</x:v>
      </x:c>
      <x:c r="AP12" s="12" t="str">
        <x:v>2026-07-19</x:v>
      </x:c>
      <x:c r="AQ12" s="12" t="str">
        <x:v>Alta</x:v>
      </x:c>
      <x:c r="AR12" s="12" t="str">
        <x:v>Histórico de catalogação das turmalinas rosas em 2026-07-01</x:v>
      </x:c>
      <x:c r="AS12" s="12" t="str"/>
      <x:c r="AT12" s="12" t="str">
        <x:v>Formato quadrado; inclusões e fraturas internas visíveis.</x:v>
      </x:c>
    </x:row>
    <x:row r="13">
      <x:c r="A13" s="12" t="str">
        <x:v>DG-TR-012</x:v>
      </x:c>
      <x:c r="B13" s="12" t="str"/>
      <x:c r="C13" s="12" t="str">
        <x:v>Tourmaline Collection</x:v>
      </x:c>
      <x:c r="D13" s="12" t="str">
        <x:v>Turmalinas</x:v>
      </x:c>
      <x:c r="E13" s="12" t="str">
        <x:v>Elbaíta</x:v>
      </x:c>
      <x:c r="F13" s="12" t="str">
        <x:v>Turmalina Rosa</x:v>
      </x:c>
      <x:c r="G13" s="12" t="str">
        <x:v>Gema individual</x:v>
      </x:c>
      <x:c r="H13" s="18" t="n">
        <x:v>1</x:v>
      </x:c>
      <x:c r="I13" s="12" t="str">
        <x:v>Quadrada / Princess / Square Modified</x:v>
      </x:c>
      <x:c r="J13" s="12" t="str">
        <x:v>4 x 4 x 2</x:v>
      </x:c>
      <x:c r="K13" s="14" t="n">
        <x:v>0.105</x:v>
      </x:c>
      <x:c r="L13" s="12" t="str">
        <x:v>Sim</x:v>
      </x:c>
      <x:c r="M13" s="12" t="str">
        <x:v>Balança / informado</x:v>
      </x:c>
      <x:c r="N13" s="12" t="str">
        <x:v>Rosa médio</x:v>
      </x:c>
      <x:c r="O13" s="12" t="str">
        <x:v>Transparente</x:v>
      </x:c>
      <x:c r="P13" s="12" t="str">
        <x:v>Não informada</x:v>
      </x:c>
      <x:c r="Q13" s="12" t="str">
        <x:v>Não avaliado / não informado</x:v>
      </x:c>
      <x:c r="R13" s="12" t="str">
        <x:v>Não</x:v>
      </x:c>
      <x:c r="S13" s="12" t="str"/>
      <x:c r="T13" s="12" t="str"/>
      <x:c r="U13" s="20"/>
      <x:c r="V13" s="20" t="n">
        <x:v>80</x:v>
      </x:c>
      <x:c r="W13" s="20" t="n">
        <x:v>180</x:v>
      </x:c>
      <x:c r="X13" s="20" t="n">
        <x:v>220</x:v>
      </x:c>
      <x:c r="Y13" s="20" t="n">
        <x:v>450</x:v>
      </x:c>
      <x:c r="Z13" s="20" t="n">
        <x:v>1200</x:v>
      </x:c>
      <x:c r="AA13" s="20" t="n">
        <x:v>2500</x:v>
      </x:c>
      <x:c r="AB13" s="12" t="str">
        <x:v>Registrado no histórico</x:v>
      </x:c>
      <x:c r="AC13" s="16" t="n">
        <x:v>8.5</x:v>
      </x:c>
      <x:c r="AD13" s="12" t="str">
        <x:v>B+</x:v>
      </x:c>
      <x:c r="AE13" s="12" t="str">
        <x:v>Baixa</x:v>
      </x:c>
      <x:c r="AF13" s="12" t="str">
        <x:v>Pavê, brinco ou detalhe geométrico</x:v>
      </x:c>
      <x:c r="AG13" s="12" t="str">
        <x:v>Coleção / Joalheria</x:v>
      </x:c>
      <x:c r="AH13" s="12" t="str">
        <x:v>Coleção</x:v>
      </x:c>
      <x:c r="AI13" s="12" t="str">
        <x:v>TR-01</x:v>
      </x:c>
      <x:c r="AJ13" s="12" t="str">
        <x:v>TR-06</x:v>
      </x:c>
      <x:c r="AK13" s="12" t="str">
        <x:v>B</x:v>
      </x:c>
      <x:c r="AL13" s="12" t="str">
        <x:v>Caixa TR-01 / Envelope TR-06 / Posição B</x:v>
      </x:c>
      <x:c r="AM13" s="12" t="str">
        <x:v>Confirmada</x:v>
      </x:c>
      <x:c r="AN13" s="12" t="str">
        <x:v>IMG_602B1287-A144-4660-9D03-D5198689F6CE.jpeg</x:v>
      </x:c>
      <x:c r="AO13" s="12" t="str">
        <x:v>2026-07-01</x:v>
      </x:c>
      <x:c r="AP13" s="12" t="str">
        <x:v>2026-07-19</x:v>
      </x:c>
      <x:c r="AQ13" s="12" t="str">
        <x:v>Alta</x:v>
      </x:c>
      <x:c r="AR13" s="12" t="str">
        <x:v>Histórico de catalogação das turmalinas rosas em 2026-07-01</x:v>
      </x:c>
      <x:c r="AS13" s="12" t="str"/>
      <x:c r="AT13" s="12" t="str">
        <x:v>Pequena pedra quadrada, boa simetria e cor viva para o tamanho.</x:v>
      </x:c>
    </x:row>
    <x:row r="14">
      <x:c r="A14" s="12" t="str">
        <x:v>DG-TR-013</x:v>
      </x:c>
      <x:c r="B14" s="12" t="str"/>
      <x:c r="C14" s="12" t="str">
        <x:v>Tourmaline Collection</x:v>
      </x:c>
      <x:c r="D14" s="12" t="str">
        <x:v>Turmalinas</x:v>
      </x:c>
      <x:c r="E14" s="12" t="str">
        <x:v>Elbaíta</x:v>
      </x:c>
      <x:c r="F14" s="12" t="str">
        <x:v>Turmalina Rosa</x:v>
      </x:c>
      <x:c r="G14" s="12" t="str">
        <x:v>Gema individual</x:v>
      </x:c>
      <x:c r="H14" s="18" t="n">
        <x:v>1</x:v>
      </x:c>
      <x:c r="I14" s="12" t="str">
        <x:v>Retangular / Emerald / Step Cut</x:v>
      </x:c>
      <x:c r="J14" s="12" t="str">
        <x:v>5 x 3 x 2</x:v>
      </x:c>
      <x:c r="K14" s="14" t="n">
        <x:v>0.235</x:v>
      </x:c>
      <x:c r="L14" s="12" t="str">
        <x:v>Sim</x:v>
      </x:c>
      <x:c r="M14" s="12" t="str">
        <x:v>Balança / informado</x:v>
      </x:c>
      <x:c r="N14" s="12" t="str">
        <x:v>Rosa médio</x:v>
      </x:c>
      <x:c r="O14" s="12" t="str">
        <x:v>Transparente</x:v>
      </x:c>
      <x:c r="P14" s="12" t="str">
        <x:v>Não informada</x:v>
      </x:c>
      <x:c r="Q14" s="12" t="str">
        <x:v>Não avaliado / não informado</x:v>
      </x:c>
      <x:c r="R14" s="12" t="str">
        <x:v>Não</x:v>
      </x:c>
      <x:c r="S14" s="12" t="str"/>
      <x:c r="T14" s="12" t="str"/>
      <x:c r="U14" s="20"/>
      <x:c r="V14" s="20" t="n">
        <x:v>120</x:v>
      </x:c>
      <x:c r="W14" s="20" t="n">
        <x:v>240</x:v>
      </x:c>
      <x:c r="X14" s="20" t="n">
        <x:v>300</x:v>
      </x:c>
      <x:c r="Y14" s="20" t="n">
        <x:v>600</x:v>
      </x:c>
      <x:c r="Z14" s="20" t="n">
        <x:v>1500</x:v>
      </x:c>
      <x:c r="AA14" s="20" t="n">
        <x:v>3000</x:v>
      </x:c>
      <x:c r="AB14" s="12" t="str">
        <x:v>Registrado no histórico</x:v>
      </x:c>
      <x:c r="AC14" s="16" t="n">
        <x:v>8.3</x:v>
      </x:c>
      <x:c r="AD14" s="12" t="str">
        <x:v>B</x:v>
      </x:c>
      <x:c r="AE14" s="12" t="str">
        <x:v>Baixa</x:v>
      </x:c>
      <x:c r="AF14" s="12" t="str">
        <x:v>Anel ou pingente delicado em ouro rosé/amarelo</x:v>
      </x:c>
      <x:c r="AG14" s="12" t="str">
        <x:v>Coleção / Joalheria</x:v>
      </x:c>
      <x:c r="AH14" s="12" t="str">
        <x:v>Coleção</x:v>
      </x:c>
      <x:c r="AI14" s="12" t="str">
        <x:v>TR-01</x:v>
      </x:c>
      <x:c r="AJ14" s="12" t="str">
        <x:v>TR-07</x:v>
      </x:c>
      <x:c r="AK14" s="12" t="str">
        <x:v>A</x:v>
      </x:c>
      <x:c r="AL14" s="12" t="str">
        <x:v>Caixa TR-01 / Envelope TR-07 / Posição A</x:v>
      </x:c>
      <x:c r="AM14" s="12" t="str">
        <x:v>Confirmada</x:v>
      </x:c>
      <x:c r="AN14" s="12" t="str">
        <x:v>IMG_540DB597-B8BB-44ED-AB79-B82E9BF87898.jpeg</x:v>
      </x:c>
      <x:c r="AO14" s="12" t="str">
        <x:v>2026-07-01</x:v>
      </x:c>
      <x:c r="AP14" s="12" t="str">
        <x:v>2026-07-19</x:v>
      </x:c>
      <x:c r="AQ14" s="12" t="str">
        <x:v>Alta</x:v>
      </x:c>
      <x:c r="AR14" s="12" t="str">
        <x:v>Histórico de catalogação das turmalinas rosas em 2026-07-01</x:v>
      </x:c>
      <x:c r="AS14" s="12" t="str"/>
      <x:c r="AT14" s="12" t="str">
        <x:v>Boa saturação, mas inclusões cristalinas e fraturas internas aparentes.</x:v>
      </x:c>
    </x:row>
    <x:row r="15">
      <x:c r="A15" s="12" t="str">
        <x:v>DG-TR-014</x:v>
      </x:c>
      <x:c r="B15" s="12" t="str"/>
      <x:c r="C15" s="12" t="str">
        <x:v>Tourmaline Collection</x:v>
      </x:c>
      <x:c r="D15" s="12" t="str">
        <x:v>Turmalinas</x:v>
      </x:c>
      <x:c r="E15" s="12" t="str">
        <x:v>Elbaíta</x:v>
      </x:c>
      <x:c r="F15" s="12" t="str">
        <x:v>Turmalina Rosa</x:v>
      </x:c>
      <x:c r="G15" s="12" t="str">
        <x:v>Gema individual</x:v>
      </x:c>
      <x:c r="H15" s="18" t="n">
        <x:v>1</x:v>
      </x:c>
      <x:c r="I15" s="12" t="str">
        <x:v>Baguete / Step Cut alongada</x:v>
      </x:c>
      <x:c r="J15" s="12" t="str">
        <x:v>7 x 3 x 2</x:v>
      </x:c>
      <x:c r="K15" s="14" t="n">
        <x:v>0.225</x:v>
      </x:c>
      <x:c r="L15" s="12" t="str">
        <x:v>Sim</x:v>
      </x:c>
      <x:c r="M15" s="12" t="str">
        <x:v>Balança / informado</x:v>
      </x:c>
      <x:c r="N15" s="12" t="str">
        <x:v>Rosa claro</x:v>
      </x:c>
      <x:c r="O15" s="12" t="str">
        <x:v>Transparente</x:v>
      </x:c>
      <x:c r="P15" s="12" t="str">
        <x:v>Não informada</x:v>
      </x:c>
      <x:c r="Q15" s="12" t="str">
        <x:v>Não avaliado / não informado</x:v>
      </x:c>
      <x:c r="R15" s="12" t="str">
        <x:v>Não</x:v>
      </x:c>
      <x:c r="S15" s="12" t="str"/>
      <x:c r="T15" s="12" t="str"/>
      <x:c r="U15" s="20"/>
      <x:c r="V15" s="20" t="n">
        <x:v>180</x:v>
      </x:c>
      <x:c r="W15" s="20" t="n">
        <x:v>320</x:v>
      </x:c>
      <x:c r="X15" s="20" t="n">
        <x:v>450</x:v>
      </x:c>
      <x:c r="Y15" s="20" t="n">
        <x:v>850</x:v>
      </x:c>
      <x:c r="Z15" s="20" t="n">
        <x:v>2000</x:v>
      </x:c>
      <x:c r="AA15" s="20" t="n">
        <x:v>4000</x:v>
      </x:c>
      <x:c r="AB15" s="12" t="str">
        <x:v>Registrado no histórico</x:v>
      </x:c>
      <x:c r="AC15" s="16" t="n">
        <x:v>8.8</x:v>
      </x:c>
      <x:c r="AD15" s="12" t="str">
        <x:v>A-</x:v>
      </x:c>
      <x:c r="AE15" s="12" t="str">
        <x:v>Média</x:v>
      </x:c>
      <x:c r="AF15" s="12" t="str">
        <x:v>Joia Art Déco, lateral de anel ou pulseira</x:v>
      </x:c>
      <x:c r="AG15" s="12" t="str">
        <x:v>Coleção / Joalheria</x:v>
      </x:c>
      <x:c r="AH15" s="12" t="str">
        <x:v>Coleção</x:v>
      </x:c>
      <x:c r="AI15" s="12" t="str">
        <x:v>TR-01</x:v>
      </x:c>
      <x:c r="AJ15" s="12" t="str">
        <x:v>TR-07</x:v>
      </x:c>
      <x:c r="AK15" s="12" t="str">
        <x:v>B</x:v>
      </x:c>
      <x:c r="AL15" s="12" t="str">
        <x:v>Caixa TR-01 / Envelope TR-07 / Posição B</x:v>
      </x:c>
      <x:c r="AM15" s="12" t="str">
        <x:v>Confirmada</x:v>
      </x:c>
      <x:c r="AN15" s="12" t="str">
        <x:v>IMG_47801ADA-64E1-4DE1-8B3C-A54FE694DD24.jpeg</x:v>
      </x:c>
      <x:c r="AO15" s="12" t="str">
        <x:v>2026-07-01</x:v>
      </x:c>
      <x:c r="AP15" s="12" t="str">
        <x:v>2026-07-19</x:v>
      </x:c>
      <x:c r="AQ15" s="12" t="str">
        <x:v>Alta</x:v>
      </x:c>
      <x:c r="AR15" s="12" t="str">
        <x:v>Histórico de catalogação das turmalinas rosas em 2026-07-01</x:v>
      </x:c>
      <x:c r="AS15" s="12" t="str">
        <x:v>Avaliar certificação</x:v>
      </x:c>
      <x:c r="AT15" s="12" t="str">
        <x:v>Formato alongado elegante; inclusões lineares discretas e leve janela.</x:v>
      </x:c>
    </x:row>
    <x:row r="16">
      <x:c r="A16" s="12" t="str">
        <x:v>DG-TR-015</x:v>
      </x:c>
      <x:c r="B16" s="12" t="str"/>
      <x:c r="C16" s="12" t="str">
        <x:v>Tourmaline Collection</x:v>
      </x:c>
      <x:c r="D16" s="12" t="str">
        <x:v>Turmalinas</x:v>
      </x:c>
      <x:c r="E16" s="12" t="str">
        <x:v>Elbaíta</x:v>
      </x:c>
      <x:c r="F16" s="12" t="str">
        <x:v>Turmalina Rosa</x:v>
      </x:c>
      <x:c r="G16" s="12" t="str">
        <x:v>Gema individual</x:v>
      </x:c>
      <x:c r="H16" s="18" t="n">
        <x:v>1</x:v>
      </x:c>
      <x:c r="I16" s="12" t="str">
        <x:v>Retangular / Step Cut</x:v>
      </x:c>
      <x:c r="J16" s="12" t="str">
        <x:v>5 x 3 x 2</x:v>
      </x:c>
      <x:c r="K16" s="14" t="n">
        <x:v>0.195</x:v>
      </x:c>
      <x:c r="L16" s="12" t="str">
        <x:v>Sim</x:v>
      </x:c>
      <x:c r="M16" s="12" t="str">
        <x:v>Balança / informado</x:v>
      </x:c>
      <x:c r="N16" s="12" t="str">
        <x:v>Rosa claro a médio</x:v>
      </x:c>
      <x:c r="O16" s="12" t="str">
        <x:v>Transparente</x:v>
      </x:c>
      <x:c r="P16" s="12" t="str">
        <x:v>Não informada</x:v>
      </x:c>
      <x:c r="Q16" s="12" t="str">
        <x:v>Não avaliado / não informado</x:v>
      </x:c>
      <x:c r="R16" s="12" t="str">
        <x:v>Não</x:v>
      </x:c>
      <x:c r="S16" s="12" t="str"/>
      <x:c r="T16" s="12" t="str"/>
      <x:c r="U16" s="20"/>
      <x:c r="V16" s="20"/>
      <x:c r="W16" s="20"/>
      <x:c r="X16" s="20"/>
      <x:c r="Y16" s="20"/>
      <x:c r="Z16" s="20"/>
      <x:c r="AA16" s="20"/>
      <x:c r="AB16" s="12" t="str">
        <x:v>Pendente de precificação individual</x:v>
      </x:c>
      <x:c r="AC16" s="16"/>
      <x:c r="AD16" s="12" t="str">
        <x:v>Pendente</x:v>
      </x:c>
      <x:c r="AE16" s="12" t="str">
        <x:v>Baixa</x:v>
      </x:c>
      <x:c r="AF16" s="12" t="str">
        <x:v>Composição geométrica; avaliação textual pendente</x:v>
      </x:c>
      <x:c r="AG16" s="12" t="str">
        <x:v>Coleção / Joalheria</x:v>
      </x:c>
      <x:c r="AH16" s="12" t="str">
        <x:v>Coleção</x:v>
      </x:c>
      <x:c r="AI16" s="12" t="str">
        <x:v>TR-01</x:v>
      </x:c>
      <x:c r="AJ16" s="12" t="str">
        <x:v>TR-08</x:v>
      </x:c>
      <x:c r="AK16" s="12" t="str">
        <x:v>A</x:v>
      </x:c>
      <x:c r="AL16" s="12" t="str">
        <x:v>Caixa TR-01 / Envelope TR-08 / Posição A</x:v>
      </x:c>
      <x:c r="AM16" s="12" t="str">
        <x:v>Sugerida</x:v>
      </x:c>
      <x:c r="AN16" s="12" t="str">
        <x:v>IMG_241F08B5-98C6-4934-AE8D-3628B0CB6BB8.jpeg; IMG_A3E30C52-9BDA-4C0D-8BB4-D5C1CDBAC8F9.jpeg</x:v>
      </x:c>
      <x:c r="AO16" s="12" t="str">
        <x:v>2026-07-01</x:v>
      </x:c>
      <x:c r="AP16" s="12" t="str">
        <x:v>2026-07-19</x:v>
      </x:c>
      <x:c r="AQ16" s="12" t="str">
        <x:v>Alta</x:v>
      </x:c>
      <x:c r="AR16" s="12" t="str">
        <x:v>Histórico de catalogação das turmalinas rosas em 2026-07-01</x:v>
      </x:c>
      <x:c r="AS16" s="12" t="str">
        <x:v>Precificação individual pendente</x:v>
      </x:c>
      <x:c r="AT16" s="12" t="str">
        <x:v>Registro confirmado por imagens e medidas; a resposta original gerou uma ficha visual, sem avaliação textual estruturada.</x:v>
      </x:c>
    </x:row>
    <x:row r="17">
      <x:c r="A17" s="12" t="str">
        <x:v>DG-TR-016</x:v>
      </x:c>
      <x:c r="B17" s="12" t="str"/>
      <x:c r="C17" s="12" t="str">
        <x:v>Tourmaline Collection</x:v>
      </x:c>
      <x:c r="D17" s="12" t="str">
        <x:v>Turmalinas</x:v>
      </x:c>
      <x:c r="E17" s="12" t="str">
        <x:v>Elbaíta</x:v>
      </x:c>
      <x:c r="F17" s="12" t="str">
        <x:v>Turmalina Rosa</x:v>
      </x:c>
      <x:c r="G17" s="12" t="str">
        <x:v>Gema individual</x:v>
      </x:c>
      <x:c r="H17" s="18" t="n">
        <x:v>1</x:v>
      </x:c>
      <x:c r="I17" s="12" t="str">
        <x:v>Redonda / Brilhante</x:v>
      </x:c>
      <x:c r="J17" s="12" t="str">
        <x:v>4 x 4 x 2</x:v>
      </x:c>
      <x:c r="K17" s="14" t="n">
        <x:v>0.155</x:v>
      </x:c>
      <x:c r="L17" s="12" t="str">
        <x:v>Sim</x:v>
      </x:c>
      <x:c r="M17" s="12" t="str">
        <x:v>Balança / informado</x:v>
      </x:c>
      <x:c r="N17" s="12" t="str">
        <x:v>Rosa claro uniforme / pastel</x:v>
      </x:c>
      <x:c r="O17" s="12" t="str">
        <x:v>Transparente</x:v>
      </x:c>
      <x:c r="P17" s="12" t="str">
        <x:v>Não informada</x:v>
      </x:c>
      <x:c r="Q17" s="12" t="str">
        <x:v>Não avaliado / não informado</x:v>
      </x:c>
      <x:c r="R17" s="12" t="str">
        <x:v>Não</x:v>
      </x:c>
      <x:c r="S17" s="12" t="str"/>
      <x:c r="T17" s="12" t="str"/>
      <x:c r="U17" s="20"/>
      <x:c r="V17" s="20" t="n">
        <x:v>120</x:v>
      </x:c>
      <x:c r="W17" s="20" t="n">
        <x:v>220</x:v>
      </x:c>
      <x:c r="X17" s="20" t="n">
        <x:v>280</x:v>
      </x:c>
      <x:c r="Y17" s="20" t="n">
        <x:v>550</x:v>
      </x:c>
      <x:c r="Z17" s="20" t="n">
        <x:v>1500</x:v>
      </x:c>
      <x:c r="AA17" s="20" t="n">
        <x:v>3000</x:v>
      </x:c>
      <x:c r="AB17" s="12" t="str">
        <x:v>Registrado no histórico</x:v>
      </x:c>
      <x:c r="AC17" s="16" t="n">
        <x:v>8.4</x:v>
      </x:c>
      <x:c r="AD17" s="12" t="str">
        <x:v>B+</x:v>
      </x:c>
      <x:c r="AE17" s="12" t="str">
        <x:v>Baixa</x:v>
      </x:c>
      <x:c r="AF17" s="12" t="str">
        <x:v>Anel delicado, brinco ou detalhe</x:v>
      </x:c>
      <x:c r="AG17" s="12" t="str">
        <x:v>Coleção / Joalheria</x:v>
      </x:c>
      <x:c r="AH17" s="12" t="str">
        <x:v>Coleção</x:v>
      </x:c>
      <x:c r="AI17" s="12" t="str">
        <x:v>TR-01</x:v>
      </x:c>
      <x:c r="AJ17" s="12" t="str">
        <x:v>TR-08</x:v>
      </x:c>
      <x:c r="AK17" s="12" t="str">
        <x:v>B</x:v>
      </x:c>
      <x:c r="AL17" s="12" t="str">
        <x:v>Caixa TR-01 / Envelope TR-08 / Posição B</x:v>
      </x:c>
      <x:c r="AM17" s="12" t="str">
        <x:v>Sugerida</x:v>
      </x:c>
      <x:c r="AN17" s="12" t="str">
        <x:v>IMG_EA89DF74-A1A7-4E2B-954D-BA7AD53A077B.jpeg; IMG_F59117FE-89B8-47D3-83AB-2D296121773E.jpeg</x:v>
      </x:c>
      <x:c r="AO17" s="12" t="str">
        <x:v>2026-07-01</x:v>
      </x:c>
      <x:c r="AP17" s="12" t="str">
        <x:v>2026-07-19</x:v>
      </x:c>
      <x:c r="AQ17" s="12" t="str">
        <x:v>Alta</x:v>
      </x:c>
      <x:c r="AR17" s="12" t="str">
        <x:v>Histórico de catalogação das turmalinas rosas em 2026-07-01</x:v>
      </x:c>
      <x:c r="AS17" s="12" t="str"/>
      <x:c r="AT17" s="12" t="str">
        <x:v>Boa simetria; possível pequena janela central pela profundidade reduzida.</x:v>
      </x:c>
    </x:row>
    <x:row r="18">
      <x:c r="A18" s="12" t="str">
        <x:v>DG-TR-017</x:v>
      </x:c>
      <x:c r="B18" s="12" t="str"/>
      <x:c r="C18" s="12" t="str">
        <x:v>Tourmaline Collection</x:v>
      </x:c>
      <x:c r="D18" s="12" t="str">
        <x:v>Turmalinas</x:v>
      </x:c>
      <x:c r="E18" s="12" t="str">
        <x:v>Elbaíta</x:v>
      </x:c>
      <x:c r="F18" s="12" t="str">
        <x:v>Turmalina Rosa</x:v>
      </x:c>
      <x:c r="G18" s="12" t="str">
        <x:v>Gema individual</x:v>
      </x:c>
      <x:c r="H18" s="18" t="n">
        <x:v>1</x:v>
      </x:c>
      <x:c r="I18" s="12" t="str">
        <x:v>Navete / Marquise</x:v>
      </x:c>
      <x:c r="J18" s="12" t="str">
        <x:v>7 x 4 x 2</x:v>
      </x:c>
      <x:c r="K18" s="14" t="n">
        <x:v>0.175</x:v>
      </x:c>
      <x:c r="L18" s="12" t="str">
        <x:v>Sim</x:v>
      </x:c>
      <x:c r="M18" s="12" t="str">
        <x:v>Balança / informado</x:v>
      </x:c>
      <x:c r="N18" s="12" t="str">
        <x:v>Rosa intenso / bubblegum</x:v>
      </x:c>
      <x:c r="O18" s="12" t="str">
        <x:v>Transparente</x:v>
      </x:c>
      <x:c r="P18" s="12" t="str">
        <x:v>Não informada</x:v>
      </x:c>
      <x:c r="Q18" s="12" t="str">
        <x:v>Não avaliado / não informado</x:v>
      </x:c>
      <x:c r="R18" s="12" t="str">
        <x:v>Não</x:v>
      </x:c>
      <x:c r="S18" s="12" t="str"/>
      <x:c r="T18" s="12" t="str"/>
      <x:c r="U18" s="20"/>
      <x:c r="V18" s="20" t="n">
        <x:v>300</x:v>
      </x:c>
      <x:c r="W18" s="20" t="n">
        <x:v>500</x:v>
      </x:c>
      <x:c r="X18" s="20" t="n">
        <x:v>650</x:v>
      </x:c>
      <x:c r="Y18" s="20" t="n">
        <x:v>1100</x:v>
      </x:c>
      <x:c r="Z18" s="20" t="n">
        <x:v>2500</x:v>
      </x:c>
      <x:c r="AA18" s="20" t="n">
        <x:v>4500</x:v>
      </x:c>
      <x:c r="AB18" s="12" t="str">
        <x:v>Registrado no histórico</x:v>
      </x:c>
      <x:c r="AC18" s="16" t="n">
        <x:v>9.2</x:v>
      </x:c>
      <x:c r="AD18" s="12" t="str">
        <x:v>A</x:v>
      </x:c>
      <x:c r="AE18" s="12" t="str">
        <x:v>Média</x:v>
      </x:c>
      <x:c r="AF18" s="12" t="str">
        <x:v>Anel, brinco ou pingente premium delicado</x:v>
      </x:c>
      <x:c r="AG18" s="12" t="str">
        <x:v>Coleção / Joalheria</x:v>
      </x:c>
      <x:c r="AH18" s="12" t="str">
        <x:v>Coleção</x:v>
      </x:c>
      <x:c r="AI18" s="12" t="str">
        <x:v>TR-01</x:v>
      </x:c>
      <x:c r="AJ18" s="12" t="str">
        <x:v>TR-09</x:v>
      </x:c>
      <x:c r="AK18" s="12" t="str">
        <x:v>A</x:v>
      </x:c>
      <x:c r="AL18" s="12" t="str">
        <x:v>Caixa TR-01 / Envelope TR-09 / Posição A</x:v>
      </x:c>
      <x:c r="AM18" s="12" t="str">
        <x:v>Sugerida</x:v>
      </x:c>
      <x:c r="AN18" s="12" t="str">
        <x:v>IMG_C5C9600D-0C4B-4983-BEB1-63A4C0588871.jpeg</x:v>
      </x:c>
      <x:c r="AO18" s="12" t="str">
        <x:v>2026-07-01</x:v>
      </x:c>
      <x:c r="AP18" s="12" t="str">
        <x:v>2026-07-19</x:v>
      </x:c>
      <x:c r="AQ18" s="12" t="str">
        <x:v>Alta</x:v>
      </x:c>
      <x:c r="AR18" s="12" t="str">
        <x:v>Histórico de catalogação das turmalinas rosas em 2026-07-01</x:v>
      </x:c>
      <x:c r="AS18" s="12" t="str">
        <x:v>Avaliar certificação</x:v>
      </x:c>
      <x:c r="AT18" s="12" t="str">
        <x:v>Excelente saturação e retorno de luz para o peso.</x:v>
      </x:c>
    </x:row>
    <x:row r="19">
      <x:c r="A19" s="12" t="str">
        <x:v>DG-TR-018</x:v>
      </x:c>
      <x:c r="B19" s="12" t="str"/>
      <x:c r="C19" s="12" t="str">
        <x:v>Tourmaline Collection</x:v>
      </x:c>
      <x:c r="D19" s="12" t="str">
        <x:v>Turmalinas</x:v>
      </x:c>
      <x:c r="E19" s="12" t="str">
        <x:v>Elbaíta</x:v>
      </x:c>
      <x:c r="F19" s="12" t="str">
        <x:v>Turmalina Rosa</x:v>
      </x:c>
      <x:c r="G19" s="12" t="str">
        <x:v>Gema individual</x:v>
      </x:c>
      <x:c r="H19" s="18" t="n">
        <x:v>1</x:v>
      </x:c>
      <x:c r="I19" s="12" t="str">
        <x:v>Navete / Marquise</x:v>
      </x:c>
      <x:c r="J19" s="12" t="str">
        <x:v>7 x 4 x 2</x:v>
      </x:c>
      <x:c r="K19" s="14" t="n">
        <x:v>0.175</x:v>
      </x:c>
      <x:c r="L19" s="12" t="str">
        <x:v>Sim</x:v>
      </x:c>
      <x:c r="M19" s="12" t="str">
        <x:v>Balança / informado</x:v>
      </x:c>
      <x:c r="N19" s="12" t="str">
        <x:v>Rosa intenso e homogêneo</x:v>
      </x:c>
      <x:c r="O19" s="12" t="str">
        <x:v>Transparente</x:v>
      </x:c>
      <x:c r="P19" s="12" t="str">
        <x:v>Não informada</x:v>
      </x:c>
      <x:c r="Q19" s="12" t="str">
        <x:v>Não avaliado / não informado</x:v>
      </x:c>
      <x:c r="R19" s="12" t="str">
        <x:v>Não</x:v>
      </x:c>
      <x:c r="S19" s="12" t="str"/>
      <x:c r="T19" s="12" t="str"/>
      <x:c r="U19" s="20"/>
      <x:c r="V19" s="20"/>
      <x:c r="W19" s="20"/>
      <x:c r="X19" s="20"/>
      <x:c r="Y19" s="20"/>
      <x:c r="Z19" s="20"/>
      <x:c r="AA19" s="20"/>
      <x:c r="AB19" s="12" t="str">
        <x:v>Pendente de precificação individual</x:v>
      </x:c>
      <x:c r="AC19" s="16" t="n">
        <x:v>9.3</x:v>
      </x:c>
      <x:c r="AD19" s="12" t="str">
        <x:v>A</x:v>
      </x:c>
      <x:c r="AE19" s="12" t="str">
        <x:v>Média</x:v>
      </x:c>
      <x:c r="AF19" s="12" t="str">
        <x:v>Par visual com DG-TR-017 / joia premium</x:v>
      </x:c>
      <x:c r="AG19" s="12" t="str">
        <x:v>Coleção / Joalheria</x:v>
      </x:c>
      <x:c r="AH19" s="12" t="str">
        <x:v>Coleção</x:v>
      </x:c>
      <x:c r="AI19" s="12" t="str">
        <x:v>TR-01</x:v>
      </x:c>
      <x:c r="AJ19" s="12" t="str">
        <x:v>TR-09</x:v>
      </x:c>
      <x:c r="AK19" s="12" t="str">
        <x:v>B</x:v>
      </x:c>
      <x:c r="AL19" s="12" t="str">
        <x:v>Caixa TR-01 / Envelope TR-09 / Posição B</x:v>
      </x:c>
      <x:c r="AM19" s="12" t="str">
        <x:v>Sugerida</x:v>
      </x:c>
      <x:c r="AN19" s="12" t="str">
        <x:v>IMG_ACCA8D7D-3DFD-418F-910C-5A4257A09779.jpeg</x:v>
      </x:c>
      <x:c r="AO19" s="12" t="str">
        <x:v>2026-07-01</x:v>
      </x:c>
      <x:c r="AP19" s="12" t="str">
        <x:v>2026-07-19</x:v>
      </x:c>
      <x:c r="AQ19" s="12" t="str">
        <x:v>Alta</x:v>
      </x:c>
      <x:c r="AR19" s="12" t="str">
        <x:v>Histórico de catalogação das turmalinas rosas em 2026-07-01</x:v>
      </x:c>
      <x:c r="AS19" s="12" t="str">
        <x:v>Avaliar certificação; Precificação individual pendente</x:v>
      </x:c>
      <x:c r="AT19" s="12" t="str">
        <x:v>Pedra distinta da DG-TR-017, apesar do mesmo peso e medidas; faixa de valor individual não foi formalizada no histórico.</x:v>
      </x:c>
    </x:row>
    <x:row r="20">
      <x:c r="A20" s="12" t="str">
        <x:v>DG-TR-019</x:v>
      </x:c>
      <x:c r="B20" s="12" t="str"/>
      <x:c r="C20" s="12" t="str">
        <x:v>Tourmaline Collection</x:v>
      </x:c>
      <x:c r="D20" s="12" t="str">
        <x:v>Turmalinas</x:v>
      </x:c>
      <x:c r="E20" s="12" t="str">
        <x:v>Elbaíta</x:v>
      </x:c>
      <x:c r="F20" s="12" t="str">
        <x:v>Turmalina Rosa</x:v>
      </x:c>
      <x:c r="G20" s="12" t="str">
        <x:v>Gema individual</x:v>
      </x:c>
      <x:c r="H20" s="18" t="n">
        <x:v>1</x:v>
      </x:c>
      <x:c r="I20" s="12" t="str">
        <x:v>Navete / Marquise alongada</x:v>
      </x:c>
      <x:c r="J20" s="12" t="str">
        <x:v>12 x 4 x 2</x:v>
      </x:c>
      <x:c r="K20" s="14" t="n">
        <x:v>0.315</x:v>
      </x:c>
      <x:c r="L20" s="12" t="str">
        <x:v>Sim</x:v>
      </x:c>
      <x:c r="M20" s="12" t="str">
        <x:v>Balança / informado</x:v>
      </x:c>
      <x:c r="N20" s="12" t="str">
        <x:v>Rosa claro a médio</x:v>
      </x:c>
      <x:c r="O20" s="12" t="str">
        <x:v>Transparente</x:v>
      </x:c>
      <x:c r="P20" s="12" t="str">
        <x:v>Não informada</x:v>
      </x:c>
      <x:c r="Q20" s="12" t="str">
        <x:v>Não avaliado / não informado</x:v>
      </x:c>
      <x:c r="R20" s="12" t="str">
        <x:v>Não</x:v>
      </x:c>
      <x:c r="S20" s="12" t="str"/>
      <x:c r="T20" s="12" t="str"/>
      <x:c r="U20" s="20"/>
      <x:c r="V20" s="20" t="n">
        <x:v>280</x:v>
      </x:c>
      <x:c r="W20" s="20" t="n">
        <x:v>500</x:v>
      </x:c>
      <x:c r="X20" s="20" t="n">
        <x:v>700</x:v>
      </x:c>
      <x:c r="Y20" s="20" t="n">
        <x:v>1300</x:v>
      </x:c>
      <x:c r="Z20" s="20" t="n">
        <x:v>3000</x:v>
      </x:c>
      <x:c r="AA20" s="20" t="n">
        <x:v>6000</x:v>
      </x:c>
      <x:c r="AB20" s="12" t="str">
        <x:v>Registrado no histórico</x:v>
      </x:c>
      <x:c r="AC20" s="16" t="n">
        <x:v>8.9</x:v>
      </x:c>
      <x:c r="AD20" s="12" t="str">
        <x:v>A-</x:v>
      </x:c>
      <x:c r="AE20" s="12" t="str">
        <x:v>Média</x:v>
      </x:c>
      <x:c r="AF20" s="12" t="str">
        <x:v>Pingente vertical, anel ou broche</x:v>
      </x:c>
      <x:c r="AG20" s="12" t="str">
        <x:v>Coleção / Joalheria</x:v>
      </x:c>
      <x:c r="AH20" s="12" t="str">
        <x:v>Coleção</x:v>
      </x:c>
      <x:c r="AI20" s="12" t="str">
        <x:v>TR-01</x:v>
      </x:c>
      <x:c r="AJ20" s="12" t="str">
        <x:v>TR-10</x:v>
      </x:c>
      <x:c r="AK20" s="12" t="str">
        <x:v>A</x:v>
      </x:c>
      <x:c r="AL20" s="12" t="str">
        <x:v>Caixa TR-01 / Envelope TR-10 / Posição A</x:v>
      </x:c>
      <x:c r="AM20" s="12" t="str">
        <x:v>Sugerida</x:v>
      </x:c>
      <x:c r="AN20" s="12" t="str">
        <x:v>IMG_4556D5E3-FEEF-42F1-95CD-F85C246AAB35.jpeg</x:v>
      </x:c>
      <x:c r="AO20" s="12" t="str">
        <x:v>2026-07-01</x:v>
      </x:c>
      <x:c r="AP20" s="12" t="str">
        <x:v>2026-07-19</x:v>
      </x:c>
      <x:c r="AQ20" s="12" t="str">
        <x:v>Alta</x:v>
      </x:c>
      <x:c r="AR20" s="12" t="str">
        <x:v>Histórico de catalogação das turmalinas rosas em 2026-07-01</x:v>
      </x:c>
      <x:c r="AS20" s="12" t="str">
        <x:v>Avaliar certificação</x:v>
      </x:c>
      <x:c r="AT20" s="12" t="str">
        <x:v>Formato longo; inclusão alaranjada evidente próxima a uma extremidade.</x:v>
      </x:c>
    </x:row>
    <x:row r="21">
      <x:c r="A21" s="12" t="str">
        <x:v>DG-TR-020</x:v>
      </x:c>
      <x:c r="B21" s="12" t="str"/>
      <x:c r="C21" s="12" t="str">
        <x:v>Tourmaline Collection</x:v>
      </x:c>
      <x:c r="D21" s="12" t="str">
        <x:v>Turmalinas</x:v>
      </x:c>
      <x:c r="E21" s="12" t="str">
        <x:v>Elbaíta</x:v>
      </x:c>
      <x:c r="F21" s="12" t="str">
        <x:v>Turmalina Rosa</x:v>
      </x:c>
      <x:c r="G21" s="12" t="str">
        <x:v>Gema individual</x:v>
      </x:c>
      <x:c r="H21" s="18" t="n">
        <x:v>1</x:v>
      </x:c>
      <x:c r="I21" s="12" t="str">
        <x:v>Navete / Marquise muito alongada</x:v>
      </x:c>
      <x:c r="J21" s="12" t="str">
        <x:v>13 x 3,5 x 1,5</x:v>
      </x:c>
      <x:c r="K21" s="14" t="n">
        <x:v>0.29</x:v>
      </x:c>
      <x:c r="L21" s="12" t="str">
        <x:v>Sim</x:v>
      </x:c>
      <x:c r="M21" s="12" t="str">
        <x:v>Balança / informado</x:v>
      </x:c>
      <x:c r="N21" s="12" t="str">
        <x:v>Rosa claro delicado</x:v>
      </x:c>
      <x:c r="O21" s="12" t="str">
        <x:v>Transparente</x:v>
      </x:c>
      <x:c r="P21" s="12" t="str">
        <x:v>Não informada</x:v>
      </x:c>
      <x:c r="Q21" s="12" t="str">
        <x:v>Não avaliado / não informado</x:v>
      </x:c>
      <x:c r="R21" s="12" t="str">
        <x:v>Não</x:v>
      </x:c>
      <x:c r="S21" s="12" t="str"/>
      <x:c r="T21" s="12" t="str"/>
      <x:c r="U21" s="20"/>
      <x:c r="V21" s="20" t="n">
        <x:v>250</x:v>
      </x:c>
      <x:c r="W21" s="20" t="n">
        <x:v>450</x:v>
      </x:c>
      <x:c r="X21" s="20" t="n">
        <x:v>650</x:v>
      </x:c>
      <x:c r="Y21" s="20" t="n">
        <x:v>1200</x:v>
      </x:c>
      <x:c r="Z21" s="20" t="n">
        <x:v>3000</x:v>
      </x:c>
      <x:c r="AA21" s="20" t="n">
        <x:v>5500</x:v>
      </x:c>
      <x:c r="AB21" s="12" t="str">
        <x:v>Registrado no histórico</x:v>
      </x:c>
      <x:c r="AC21" s="16" t="n">
        <x:v>8.9</x:v>
      </x:c>
      <x:c r="AD21" s="12" t="str">
        <x:v>A-</x:v>
      </x:c>
      <x:c r="AE21" s="12" t="str">
        <x:v>Média</x:v>
      </x:c>
      <x:c r="AF21" s="12" t="str">
        <x:v>Pingente vertical ou anel minimalista</x:v>
      </x:c>
      <x:c r="AG21" s="12" t="str">
        <x:v>Coleção / Joalheria</x:v>
      </x:c>
      <x:c r="AH21" s="12" t="str">
        <x:v>Coleção</x:v>
      </x:c>
      <x:c r="AI21" s="12" t="str">
        <x:v>TR-01</x:v>
      </x:c>
      <x:c r="AJ21" s="12" t="str">
        <x:v>TR-10</x:v>
      </x:c>
      <x:c r="AK21" s="12" t="str">
        <x:v>B</x:v>
      </x:c>
      <x:c r="AL21" s="12" t="str">
        <x:v>Caixa TR-01 / Envelope TR-10 / Posição B</x:v>
      </x:c>
      <x:c r="AM21" s="12" t="str">
        <x:v>Sugerida</x:v>
      </x:c>
      <x:c r="AN21" s="12" t="str">
        <x:v>IMG_C96CA730-5E9C-4032-8FBD-14ECD44F8357.jpeg</x:v>
      </x:c>
      <x:c r="AO21" s="12" t="str">
        <x:v>2026-07-01</x:v>
      </x:c>
      <x:c r="AP21" s="12" t="str">
        <x:v>2026-07-19</x:v>
      </x:c>
      <x:c r="AQ21" s="12" t="str">
        <x:v>Alta</x:v>
      </x:c>
      <x:c r="AR21" s="12" t="str">
        <x:v>Histórico de catalogação das turmalinas rosas em 2026-07-01</x:v>
      </x:c>
      <x:c r="AS21" s="12" t="str">
        <x:v>Avaliar certificação</x:v>
      </x:c>
      <x:c r="AT21" s="12" t="str">
        <x:v>Extremamente rasa e elegante; possível janela grande, mas formato raro.</x:v>
      </x:c>
    </x:row>
    <x:row r="22">
      <x:c r="A22" s="12" t="str">
        <x:v>DG-TR-021</x:v>
      </x:c>
      <x:c r="B22" s="12" t="str"/>
      <x:c r="C22" s="12" t="str">
        <x:v>Tourmaline Collection</x:v>
      </x:c>
      <x:c r="D22" s="12" t="str">
        <x:v>Turmalinas</x:v>
      </x:c>
      <x:c r="E22" s="12" t="str">
        <x:v>Elbaíta</x:v>
      </x:c>
      <x:c r="F22" s="12" t="str">
        <x:v>Turmalina Rosa</x:v>
      </x:c>
      <x:c r="G22" s="12" t="str">
        <x:v>Gema individual</x:v>
      </x:c>
      <x:c r="H22" s="18" t="n">
        <x:v>1</x:v>
      </x:c>
      <x:c r="I22" s="12" t="str">
        <x:v>Navete / Marquise</x:v>
      </x:c>
      <x:c r="J22" s="12" t="str">
        <x:v>6 x 3 x 2</x:v>
      </x:c>
      <x:c r="K22" s="14" t="n">
        <x:v>0.195</x:v>
      </x:c>
      <x:c r="L22" s="12" t="str">
        <x:v>Sim</x:v>
      </x:c>
      <x:c r="M22" s="12" t="str">
        <x:v>Balança / informado</x:v>
      </x:c>
      <x:c r="N22" s="12" t="str">
        <x:v>Rosa muito suave / pastel</x:v>
      </x:c>
      <x:c r="O22" s="12" t="str">
        <x:v>Transparente</x:v>
      </x:c>
      <x:c r="P22" s="12" t="str">
        <x:v>Não informada</x:v>
      </x:c>
      <x:c r="Q22" s="12" t="str">
        <x:v>Não avaliado / não informado</x:v>
      </x:c>
      <x:c r="R22" s="12" t="str">
        <x:v>Não</x:v>
      </x:c>
      <x:c r="S22" s="12" t="str"/>
      <x:c r="T22" s="12" t="str"/>
      <x:c r="U22" s="20"/>
      <x:c r="V22" s="20" t="n">
        <x:v>150</x:v>
      </x:c>
      <x:c r="W22" s="20" t="n">
        <x:v>300</x:v>
      </x:c>
      <x:c r="X22" s="20" t="n">
        <x:v>400</x:v>
      </x:c>
      <x:c r="Y22" s="20" t="n">
        <x:v>800</x:v>
      </x:c>
      <x:c r="Z22" s="20" t="n">
        <x:v>1800</x:v>
      </x:c>
      <x:c r="AA22" s="20" t="n">
        <x:v>3500</x:v>
      </x:c>
      <x:c r="AB22" s="12" t="str">
        <x:v>Registrado no histórico</x:v>
      </x:c>
      <x:c r="AC22" s="16" t="n">
        <x:v>8.4</x:v>
      </x:c>
      <x:c r="AD22" s="12" t="str">
        <x:v>B+</x:v>
      </x:c>
      <x:c r="AE22" s="12" t="str">
        <x:v>Baixa</x:v>
      </x:c>
      <x:c r="AF22" s="12" t="str">
        <x:v>Brinco, anel ou pingente delicado</x:v>
      </x:c>
      <x:c r="AG22" s="12" t="str">
        <x:v>Coleção / Joalheria</x:v>
      </x:c>
      <x:c r="AH22" s="12" t="str">
        <x:v>Coleção</x:v>
      </x:c>
      <x:c r="AI22" s="12" t="str">
        <x:v>TR-01</x:v>
      </x:c>
      <x:c r="AJ22" s="12" t="str">
        <x:v>TR-11</x:v>
      </x:c>
      <x:c r="AK22" s="12" t="str">
        <x:v>A</x:v>
      </x:c>
      <x:c r="AL22" s="12" t="str">
        <x:v>Caixa TR-01 / Envelope TR-11 / Posição A</x:v>
      </x:c>
      <x:c r="AM22" s="12" t="str">
        <x:v>Sugerida</x:v>
      </x:c>
      <x:c r="AN22" s="12" t="str">
        <x:v>IMG_F04AA8B9-A6EA-4BE6-9DF9-871D7348E258.jpeg</x:v>
      </x:c>
      <x:c r="AO22" s="12" t="str">
        <x:v>2026-07-01</x:v>
      </x:c>
      <x:c r="AP22" s="12" t="str">
        <x:v>2026-07-19</x:v>
      </x:c>
      <x:c r="AQ22" s="12" t="str">
        <x:v>Alta</x:v>
      </x:c>
      <x:c r="AR22" s="12" t="str">
        <x:v>Histórico de catalogação das turmalinas rosas em 2026-07-01</x:v>
      </x:c>
      <x:c r="AS22" s="12" t="str"/>
      <x:c r="AT22" s="12" t="str">
        <x:v>Inclusões internas e plumas perceptíveis; brilho moderado.</x:v>
      </x:c>
    </x:row>
    <x:row r="23">
      <x:c r="A23" s="12" t="str">
        <x:v>DG-TR-022</x:v>
      </x:c>
      <x:c r="B23" s="12" t="str"/>
      <x:c r="C23" s="12" t="str">
        <x:v>Tourmaline Collection</x:v>
      </x:c>
      <x:c r="D23" s="12" t="str">
        <x:v>Turmalinas</x:v>
      </x:c>
      <x:c r="E23" s="12" t="str">
        <x:v>Elbaíta</x:v>
      </x:c>
      <x:c r="F23" s="12" t="str">
        <x:v>Turmalina Rosa</x:v>
      </x:c>
      <x:c r="G23" s="12" t="str">
        <x:v>Gema individual</x:v>
      </x:c>
      <x:c r="H23" s="18" t="n">
        <x:v>1</x:v>
      </x:c>
      <x:c r="I23" s="12" t="str">
        <x:v>Gota / Pêra</x:v>
      </x:c>
      <x:c r="J23" s="12" t="str">
        <x:v>6 x 4 x 2,5</x:v>
      </x:c>
      <x:c r="K23" s="14" t="n">
        <x:v>0.165</x:v>
      </x:c>
      <x:c r="L23" s="12" t="str">
        <x:v>Sim</x:v>
      </x:c>
      <x:c r="M23" s="12" t="str">
        <x:v>Balança / informado</x:v>
      </x:c>
      <x:c r="N23" s="12" t="str">
        <x:v>Rosa pêssego</x:v>
      </x:c>
      <x:c r="O23" s="12" t="str">
        <x:v>Transparente</x:v>
      </x:c>
      <x:c r="P23" s="12" t="str">
        <x:v>Não informada</x:v>
      </x:c>
      <x:c r="Q23" s="12" t="str">
        <x:v>Não avaliado / não informado</x:v>
      </x:c>
      <x:c r="R23" s="12" t="str">
        <x:v>Não</x:v>
      </x:c>
      <x:c r="S23" s="12" t="str"/>
      <x:c r="T23" s="12" t="str"/>
      <x:c r="U23" s="20"/>
      <x:c r="V23" s="20" t="n">
        <x:v>220</x:v>
      </x:c>
      <x:c r="W23" s="20" t="n">
        <x:v>420</x:v>
      </x:c>
      <x:c r="X23" s="20" t="n">
        <x:v>600</x:v>
      </x:c>
      <x:c r="Y23" s="20" t="n">
        <x:v>1100</x:v>
      </x:c>
      <x:c r="Z23" s="20" t="n">
        <x:v>2000</x:v>
      </x:c>
      <x:c r="AA23" s="20" t="n">
        <x:v>4000</x:v>
      </x:c>
      <x:c r="AB23" s="12" t="str">
        <x:v>Registrado no histórico</x:v>
      </x:c>
      <x:c r="AC23" s="16" t="n">
        <x:v>8.7</x:v>
      </x:c>
      <x:c r="AD23" s="12" t="str">
        <x:v>A-</x:v>
      </x:c>
      <x:c r="AE23" s="12" t="str">
        <x:v>Baixa</x:v>
      </x:c>
      <x:c r="AF23" s="12" t="str">
        <x:v>Pingente delicado, brinco ou anel pequeno</x:v>
      </x:c>
      <x:c r="AG23" s="12" t="str">
        <x:v>Coleção / Joalheria</x:v>
      </x:c>
      <x:c r="AH23" s="12" t="str">
        <x:v>Coleção</x:v>
      </x:c>
      <x:c r="AI23" s="12" t="str">
        <x:v>TR-01</x:v>
      </x:c>
      <x:c r="AJ23" s="12" t="str">
        <x:v>TR-11</x:v>
      </x:c>
      <x:c r="AK23" s="12" t="str">
        <x:v>B</x:v>
      </x:c>
      <x:c r="AL23" s="12" t="str">
        <x:v>Caixa TR-01 / Envelope TR-11 / Posição B</x:v>
      </x:c>
      <x:c r="AM23" s="12" t="str">
        <x:v>Sugerida</x:v>
      </x:c>
      <x:c r="AN23" s="12" t="str">
        <x:v>IMG_C72CFF49-D343-4154-AE62-0AF38C9801F2.jpeg</x:v>
      </x:c>
      <x:c r="AO23" s="12" t="str">
        <x:v>2026-07-01</x:v>
      </x:c>
      <x:c r="AP23" s="12" t="str">
        <x:v>2026-07-19</x:v>
      </x:c>
      <x:c r="AQ23" s="12" t="str">
        <x:v>Alta</x:v>
      </x:c>
      <x:c r="AR23" s="12" t="str">
        <x:v>Histórico de catalogação das turmalinas rosas em 2026-07-01</x:v>
      </x:c>
      <x:c r="AS23" s="12" t="str"/>
      <x:c r="AT23" s="12" t="str">
        <x:v>Cor suave e uniforme, boa transparência e lapidação equilibrada.</x:v>
      </x:c>
    </x:row>
    <x:row r="24">
      <x:c r="A24" s="12" t="str">
        <x:v>DG-TR-023</x:v>
      </x:c>
      <x:c r="B24" s="12" t="str">
        <x:v>DG-TR-001 (master de 01/07/2026)</x:v>
      </x:c>
      <x:c r="C24" s="12" t="str">
        <x:v>Tourmaline Collection</x:v>
      </x:c>
      <x:c r="D24" s="12" t="str">
        <x:v>Turmalinas</x:v>
      </x:c>
      <x:c r="E24" s="12" t="str">
        <x:v>Elbaíta</x:v>
      </x:c>
      <x:c r="F24" s="12" t="str">
        <x:v>Turmalina Rosa</x:v>
      </x:c>
      <x:c r="G24" s="12" t="str">
        <x:v>Gema individual</x:v>
      </x:c>
      <x:c r="H24" s="18" t="n">
        <x:v>1</x:v>
      </x:c>
      <x:c r="I24" s="12" t="str">
        <x:v>Coração</x:v>
      </x:c>
      <x:c r="J24" s="12" t="str">
        <x:v>11.2 x 9.6</x:v>
      </x:c>
      <x:c r="K24" s="14" t="n">
        <x:v>3.72</x:v>
      </x:c>
      <x:c r="L24" s="12" t="str">
        <x:v>Sim</x:v>
      </x:c>
      <x:c r="M24" s="12" t="str">
        <x:v>Fornecedor</x:v>
      </x:c>
      <x:c r="N24" s="12" t="str">
        <x:v>Rosa intenso</x:v>
      </x:c>
      <x:c r="O24" s="12" t="str">
        <x:v>Transparente</x:v>
      </x:c>
      <x:c r="P24" s="12" t="str">
        <x:v>Brasil</x:v>
      </x:c>
      <x:c r="Q24" s="12" t="str">
        <x:v>Não avaliado / não informado</x:v>
      </x:c>
      <x:c r="R24" s="12" t="str">
        <x:v>Não</x:v>
      </x:c>
      <x:c r="S24" s="12" t="str"/>
      <x:c r="T24" s="12" t="str"/>
      <x:c r="U24" s="20" t="n">
        <x:v>1129</x:v>
      </x:c>
      <x:c r="V24" s="20" t="n">
        <x:v>2800</x:v>
      </x:c>
      <x:c r="W24" s="20" t="n">
        <x:v>4200</x:v>
      </x:c>
      <x:c r="X24" s="20" t="n">
        <x:v>2800</x:v>
      </x:c>
      <x:c r="Y24" s="20" t="n">
        <x:v>4200</x:v>
      </x:c>
      <x:c r="Z24" s="20" t="n">
        <x:v>8000</x:v>
      </x:c>
      <x:c r="AA24" s="20" t="n">
        <x:v>16000</x:v>
      </x:c>
      <x:c r="AB24" s="12" t="str">
        <x:v>Registrado no histórico</x:v>
      </x:c>
      <x:c r="AC24" s="16" t="n">
        <x:v>9</x:v>
      </x:c>
      <x:c r="AD24" s="12" t="str">
        <x:v>A</x:v>
      </x:c>
      <x:c r="AE24" s="12" t="str">
        <x:v>Média</x:v>
      </x:c>
      <x:c r="AF24" s="12" t="str">
        <x:v>Anel de destaque / pingente coração</x:v>
      </x:c>
      <x:c r="AG24" s="12" t="str">
        <x:v>Anel de destaque / pingente coração</x:v>
      </x:c>
      <x:c r="AH24" s="12" t="str">
        <x:v>Coleção</x:v>
      </x:c>
      <x:c r="AI24" s="12" t="str"/>
      <x:c r="AJ24" s="12" t="str"/>
      <x:c r="AK24" s="12" t="str"/>
      <x:c r="AL24" s="12" t="str"/>
      <x:c r="AM24" s="12" t="str">
        <x:v>Não informado</x:v>
      </x:c>
      <x:c r="AN24" s="12" t="str"/>
      <x:c r="AO24" s="12" t="str">
        <x:v>2026-07-01</x:v>
      </x:c>
      <x:c r="AP24" s="12" t="str">
        <x:v>2026-07-19</x:v>
      </x:c>
      <x:c r="AQ24" s="12" t="str">
        <x:v>Alta</x:v>
      </x:c>
      <x:c r="AR24" s="12" t="str">
        <x:v>Inventário mestre completo atualizado em 2026-07-01</x:v>
      </x:c>
      <x:c r="AS24" s="12" t="str">
        <x:v>Avaliar certificação</x:v>
      </x:c>
      <x:c r="AT24" s="12" t="str">
        <x:v>Código renumerado para DG-TR-023 para preservar a sequência oficial DG-TR-001 a DG-TR-022 das turmalinas rosas pequenas, sem perder o código legado.</x:v>
      </x:c>
    </x:row>
  </x:sheetData>
  <x:conditionalFormatting sqref="K2:K24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{580E7ADE-70AD-E1FC-A09C-9AA0051F2D0F}</x14:id>
        </x:ext>
      </x:extLst>
    </x:cfRule>
  </x:conditionalFormatting>
  <x:conditionalFormatting sqref="AC2:AC24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24">
    <x:cfRule type="expression" dxfId="4" priority="3">
      <x:formula>AB2="Pendente de precificação individual"</x:formula>
    </x:cfRule>
  </x:conditionalFormatting>
  <x:conditionalFormatting sqref="AS2:AS24">
    <x:cfRule type="expression" dxfId="5" priority="4">
      <x:formula>LEN(AS2)&gt;0</x:formula>
    </x:cfRule>
  </x:conditionalFormatting>
  <x:dataValidations count="2">
    <x:dataValidation type="list" sqref="AH2:AH24">
      <x:formula1>"Coleção,Estoque,Estoque para produção,Em identificação,Em certificação,Em joia,Vendido"</x:formula1>
    </x:dataValidation>
    <x:dataValidation type="list" sqref="AE2:AE24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ac24ed6e0949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80E7ADE-70AD-E1FC-A09C-9AA0051F2D0F}">
            <x14:dataBar gradient="1">
              <x14:cfvo type="min"/>
              <x14:cfvo type="max"/>
              <x14:fillColor rgb="FF4C8A72"/>
            </x14:dataBar>
          </x14:cfRule>
          <xm:sqref>K2:K24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DG-PB-0001</x:v>
      </x:c>
      <x:c r="B2" s="12" t="str"/>
      <x:c r="C2" s="12" t="str">
        <x:v>Paraíba Collection</x:v>
      </x:c>
      <x:c r="D2" s="12" t="str">
        <x:v>Turmalinas</x:v>
      </x:c>
      <x:c r="E2" s="12" t="str">
        <x:v>Elbaíta</x:v>
      </x:c>
      <x:c r="F2" s="12" t="str">
        <x:v>Turmalina Paraíba</x:v>
      </x:c>
      <x:c r="G2" s="12" t="str">
        <x:v>Gema individual</x:v>
      </x:c>
      <x:c r="H2" s="18" t="n">
        <x:v>1</x:v>
      </x:c>
      <x:c r="I2" s="12" t="str">
        <x:v>Oval / Brilliant Cut</x:v>
      </x:c>
      <x:c r="J2" s="12" t="str">
        <x:v>7.70 x 4.98 x 3.65</x:v>
      </x:c>
      <x:c r="K2" s="14" t="n">
        <x:v>1.02</x:v>
      </x:c>
      <x:c r="L2" s="12" t="str">
        <x:v>Sim</x:v>
      </x:c>
      <x:c r="M2" s="12" t="str">
        <x:v>Certificado</x:v>
      </x:c>
      <x:c r="N2" s="12" t="str">
        <x:v>Azul intenso</x:v>
      </x:c>
      <x:c r="O2" s="12" t="str">
        <x:v>Opaca a translúcida</x:v>
      </x:c>
      <x:c r="P2" s="12" t="str">
        <x:v>Brasil</x:v>
      </x:c>
      <x:c r="Q2" s="12" t="str">
        <x:v>Não avaliado / não informado</x:v>
      </x:c>
      <x:c r="R2" s="12" t="str">
        <x:v>Sim</x:v>
      </x:c>
      <x:c r="S2" s="12" t="str">
        <x:v>Áurea Gem Lab</x:v>
      </x:c>
      <x:c r="T2" s="12" t="str"/>
      <x:c r="U2" s="20" t="n">
        <x:v>2690</x:v>
      </x:c>
      <x:c r="V2" s="20" t="n">
        <x:v>35000</x:v>
      </x:c>
      <x:c r="W2" s="20" t="n">
        <x:v>70000</x:v>
      </x:c>
      <x:c r="X2" s="20" t="n">
        <x:v>35000</x:v>
      </x:c>
      <x:c r="Y2" s="20" t="n">
        <x:v>70000</x:v>
      </x:c>
      <x:c r="Z2" s="20" t="n">
        <x:v>50000</x:v>
      </x:c>
      <x:c r="AA2" s="20" t="n">
        <x:v>90000</x:v>
      </x:c>
      <x:c r="AB2" s="12" t="str">
        <x:v>Registrado no histórico</x:v>
      </x:c>
      <x:c r="AC2" s="16" t="n">
        <x:v>9.5</x:v>
      </x:c>
      <x:c r="AD2" s="12" t="str">
        <x:v>A+</x:v>
      </x:c>
      <x:c r="AE2" s="12" t="str">
        <x:v>Alta</x:v>
      </x:c>
      <x:c r="AF2" s="12" t="str">
        <x:v>Anel halo premium / anel principal</x:v>
      </x:c>
      <x:c r="AG2" s="12" t="str">
        <x:v>Anel halo premium / anel principal</x:v>
      </x:c>
      <x:c r="AH2" s="12" t="str">
        <x:v>Coleção</x:v>
      </x:c>
      <x:c r="AI2" s="12" t="str"/>
      <x:c r="AJ2" s="12" t="str"/>
      <x:c r="AK2" s="12" t="str"/>
      <x:c r="AL2" s="12" t="str"/>
      <x:c r="AM2" s="12" t="str">
        <x:v>Não informado</x:v>
      </x:c>
      <x:c r="AN2" s="12" t="str"/>
      <x:c r="AO2" s="12" t="str">
        <x:v>2026-07-01</x:v>
      </x:c>
      <x:c r="AP2" s="12" t="str">
        <x:v>2026-07-19</x:v>
      </x:c>
      <x:c r="AQ2" s="12" t="str">
        <x:v>Alta</x:v>
      </x:c>
      <x:c r="AR2" s="12" t="str">
        <x:v>Inventário mestre completo atualizado em 2026-07-01</x:v>
      </x:c>
      <x:c r="AS2" s="12" t="str"/>
      <x:c r="AT2" s="12" t="str">
        <x:v>Cu+Mn; clarity enhancement; muitas inclusões conforme laudo.</x:v>
      </x:c>
    </x:row>
    <x:row r="3">
      <x:c r="A3" s="12" t="str">
        <x:v>DG-PB-0002</x:v>
      </x:c>
      <x:c r="B3" s="12" t="str"/>
      <x:c r="C3" s="12" t="str">
        <x:v>Paraíba Collection</x:v>
      </x:c>
      <x:c r="D3" s="12" t="str">
        <x:v>Turmalinas</x:v>
      </x:c>
      <x:c r="E3" s="12" t="str">
        <x:v>Elbaíta</x:v>
      </x:c>
      <x:c r="F3" s="12" t="str">
        <x:v>Turmalina Paraíba</x:v>
      </x:c>
      <x:c r="G3" s="12" t="str">
        <x:v>Gema individual</x:v>
      </x:c>
      <x:c r="H3" s="18" t="n">
        <x:v>1</x:v>
      </x:c>
      <x:c r="I3" s="12" t="str">
        <x:v>Gota / Pear Brilliant</x:v>
      </x:c>
      <x:c r="J3" s="12" t="str">
        <x:v>5.34 x 3.20 x 2.29</x:v>
      </x:c>
      <x:c r="K3" s="14" t="n">
        <x:v>0.26</x:v>
      </x:c>
      <x:c r="L3" s="12" t="str">
        <x:v>Sim</x:v>
      </x:c>
      <x:c r="M3" s="12" t="str">
        <x:v>Certificado</x:v>
      </x:c>
      <x:c r="N3" s="12" t="str">
        <x:v>Intense Bluish Green</x:v>
      </x:c>
      <x:c r="O3" s="12" t="str">
        <x:v>Translúcida</x:v>
      </x:c>
      <x:c r="P3" s="12" t="str">
        <x:v>Brasil</x:v>
      </x:c>
      <x:c r="Q3" s="12" t="str">
        <x:v>Não avaliado / não informado</x:v>
      </x:c>
      <x:c r="R3" s="12" t="str">
        <x:v>Sim</x:v>
      </x:c>
      <x:c r="S3" s="12" t="str">
        <x:v>Áurea Gem Lab</x:v>
      </x:c>
      <x:c r="T3" s="12" t="str"/>
      <x:c r="U3" s="20" t="n">
        <x:v>4035</x:v>
      </x:c>
      <x:c r="V3" s="20" t="n">
        <x:v>8000</x:v>
      </x:c>
      <x:c r="W3" s="20" t="n">
        <x:v>15000</x:v>
      </x:c>
      <x:c r="X3" s="20" t="n">
        <x:v>18000</x:v>
      </x:c>
      <x:c r="Y3" s="20" t="n">
        <x:v>35000</x:v>
      </x:c>
      <x:c r="Z3" s="20" t="n">
        <x:v>25000</x:v>
      </x:c>
      <x:c r="AA3" s="20" t="n">
        <x:v>50000</x:v>
      </x:c>
      <x:c r="AB3" s="12" t="str">
        <x:v>Registrado no histórico</x:v>
      </x:c>
      <x:c r="AC3" s="16" t="n">
        <x:v>9.1</x:v>
      </x:c>
      <x:c r="AD3" s="12" t="str">
        <x:v>A</x:v>
      </x:c>
      <x:c r="AE3" s="12" t="str">
        <x:v>Alta</x:v>
      </x:c>
      <x:c r="AF3" s="12" t="str">
        <x:v>Pingente halo premium / gota flutuante</x:v>
      </x:c>
      <x:c r="AG3" s="12" t="str">
        <x:v>Pingente halo premium / gota flutuante</x:v>
      </x:c>
      <x:c r="AH3" s="12" t="str">
        <x:v>Coleção</x:v>
      </x:c>
      <x:c r="AI3" s="12" t="str"/>
      <x:c r="AJ3" s="12" t="str"/>
      <x:c r="AK3" s="12" t="str"/>
      <x:c r="AL3" s="12" t="str"/>
      <x:c r="AM3" s="12" t="str">
        <x:v>Não informado</x:v>
      </x:c>
      <x:c r="AN3" s="12" t="str"/>
      <x:c r="AO3" s="12" t="str">
        <x:v>2026-07-01</x:v>
      </x:c>
      <x:c r="AP3" s="12" t="str">
        <x:v>2026-07-19</x:v>
      </x:c>
      <x:c r="AQ3" s="12" t="str">
        <x:v>Alta</x:v>
      </x:c>
      <x:c r="AR3" s="12" t="str">
        <x:v>Inventário mestre completo atualizado em 2026-07-01</x:v>
      </x:c>
      <x:c r="AS3" s="12" t="str"/>
      <x:c r="AT3" s="12" t="str">
        <x:v>Cu+Mn; clarity enhancement; poucas inclusões.</x:v>
      </x:c>
    </x:row>
    <x:row r="4">
      <x:c r="A4" s="12" t="str">
        <x:v>DG-PB-0003</x:v>
      </x:c>
      <x:c r="B4" s="12" t="str"/>
      <x:c r="C4" s="12" t="str">
        <x:v>Paraíba Collection</x:v>
      </x:c>
      <x:c r="D4" s="12" t="str">
        <x:v>Turmalinas</x:v>
      </x:c>
      <x:c r="E4" s="12" t="str">
        <x:v>Elbaíta</x:v>
      </x:c>
      <x:c r="F4" s="12" t="str">
        <x:v>Turmalina Paraíba</x:v>
      </x:c>
      <x:c r="G4" s="12" t="str">
        <x:v>Lote</x:v>
      </x:c>
      <x:c r="H4" s="18" t="n">
        <x:v>6</x:v>
      </x:c>
      <x:c r="I4" s="12" t="str">
        <x:v>Navete / Marquise</x:v>
      </x:c>
      <x:c r="J4" s="12" t="str">
        <x:v>1.5x2.5 a 1.7x3.8</x:v>
      </x:c>
      <x:c r="K4" s="14" t="n">
        <x:v>0.155</x:v>
      </x:c>
      <x:c r="L4" s="12" t="str">
        <x:v>Sim</x:v>
      </x:c>
      <x:c r="M4" s="12" t="str">
        <x:v>Fornecedor</x:v>
      </x:c>
      <x:c r="N4" s="12" t="str">
        <x:v>Azul neon</x:v>
      </x:c>
      <x:c r="O4" s="12" t="str">
        <x:v>Transparente a translúcida</x:v>
      </x:c>
      <x:c r="P4" s="12" t="str">
        <x:v>Brasil</x:v>
      </x:c>
      <x:c r="Q4" s="12" t="str">
        <x:v>Não avaliado / não informado</x:v>
      </x:c>
      <x:c r="R4" s="12" t="str">
        <x:v>Não</x:v>
      </x:c>
      <x:c r="S4" s="12" t="str"/>
      <x:c r="T4" s="12" t="str"/>
      <x:c r="U4" s="20" t="n">
        <x:v>1500</x:v>
      </x:c>
      <x:c r="V4" s="20" t="n">
        <x:v>4000</x:v>
      </x:c>
      <x:c r="W4" s="20" t="n">
        <x:v>12000</x:v>
      </x:c>
      <x:c r="X4" s="20" t="n">
        <x:v>4000</x:v>
      </x:c>
      <x:c r="Y4" s="20" t="n">
        <x:v>12000</x:v>
      </x:c>
      <x:c r="Z4" s="20" t="n">
        <x:v>8000</x:v>
      </x:c>
      <x:c r="AA4" s="20" t="n">
        <x:v>15000</x:v>
      </x:c>
      <x:c r="AB4" s="12" t="str">
        <x:v>Registrado no histórico</x:v>
      </x:c>
      <x:c r="AC4" s="16" t="n">
        <x:v>8.4</x:v>
      </x:c>
      <x:c r="AD4" s="12" t="str">
        <x:v>A-</x:v>
      </x:c>
      <x:c r="AE4" s="12" t="str">
        <x:v>Baixa/Média</x:v>
      </x:c>
      <x:c r="AF4" s="12" t="str">
        <x:v>Detalhes, halo, flor, folha, cruz, constelação</x:v>
      </x:c>
      <x:c r="AG4" s="12" t="str">
        <x:v>Detalhes, halo, flor, folha, cruz, constelação</x:v>
      </x:c>
      <x:c r="AH4" s="12" t="str">
        <x:v>Coleção</x:v>
      </x:c>
      <x:c r="AI4" s="12" t="str"/>
      <x:c r="AJ4" s="12" t="str"/>
      <x:c r="AK4" s="12" t="str"/>
      <x:c r="AL4" s="12" t="str"/>
      <x:c r="AM4" s="12" t="str">
        <x:v>Não informado</x:v>
      </x:c>
      <x:c r="AN4" s="12" t="str"/>
      <x:c r="AO4" s="12" t="str">
        <x:v>2026-07-01</x:v>
      </x:c>
      <x:c r="AP4" s="12" t="str">
        <x:v>2026-07-19</x:v>
      </x:c>
      <x:c r="AQ4" s="12" t="str">
        <x:v>Alta</x:v>
      </x:c>
      <x:c r="AR4" s="12" t="str">
        <x:v>Inventário mestre completo atualizado em 2026-07-01</x:v>
      </x:c>
      <x:c r="AS4" s="12" t="str"/>
      <x:c r="AT4" s="12" t="str">
        <x:v>Originalmente 7 pedras; atualmente 6.</x:v>
      </x:c>
    </x:row>
    <x:row r="5">
      <x:c r="A5" s="12" t="str">
        <x:v>DG-PB-0004</x:v>
      </x:c>
      <x:c r="B5" s="12" t="str"/>
      <x:c r="C5" s="12" t="str">
        <x:v>Paraíba Collection</x:v>
      </x:c>
      <x:c r="D5" s="12" t="str">
        <x:v>Turmalinas</x:v>
      </x:c>
      <x:c r="E5" s="12" t="str">
        <x:v>Elbaíta</x:v>
      </x:c>
      <x:c r="F5" s="12" t="str">
        <x:v>Turmalina Paraíba</x:v>
      </x:c>
      <x:c r="G5" s="12" t="str">
        <x:v>Gema individual</x:v>
      </x:c>
      <x:c r="H5" s="18" t="n">
        <x:v>1</x:v>
      </x:c>
      <x:c r="I5" s="12" t="str">
        <x:v>Oval</x:v>
      </x:c>
      <x:c r="J5" s="12" t="str">
        <x:v>4.65 x 3.51</x:v>
      </x:c>
      <x:c r="K5" s="14" t="n">
        <x:v>0.24</x:v>
      </x:c>
      <x:c r="L5" s="12" t="str">
        <x:v>Sim</x:v>
      </x:c>
      <x:c r="M5" s="12" t="str">
        <x:v>Fornecedor</x:v>
      </x:c>
      <x:c r="N5" s="12" t="str">
        <x:v>Azul Piscina Intenso</x:v>
      </x:c>
      <x:c r="O5" s="12" t="str">
        <x:v>Transparente a translúcida</x:v>
      </x:c>
      <x:c r="P5" s="12" t="str">
        <x:v>Brasil</x:v>
      </x:c>
      <x:c r="Q5" s="12" t="str">
        <x:v>Não avaliado / não informado</x:v>
      </x:c>
      <x:c r="R5" s="12" t="str">
        <x:v>Não</x:v>
      </x:c>
      <x:c r="S5" s="12" t="str"/>
      <x:c r="T5" s="12" t="str"/>
      <x:c r="U5" s="20" t="n">
        <x:v>1090</x:v>
      </x:c>
      <x:c r="V5" s="20"/>
      <x:c r="W5" s="20"/>
      <x:c r="X5" s="20"/>
      <x:c r="Y5" s="20"/>
      <x:c r="Z5" s="20"/>
      <x:c r="AA5" s="20"/>
      <x:c r="AB5" s="12" t="str">
        <x:v>Pendente de precificação individual</x:v>
      </x:c>
      <x:c r="AC5" s="16" t="n">
        <x:v>8</x:v>
      </x:c>
      <x:c r="AD5" s="12" t="str">
        <x:v>A-</x:v>
      </x:c>
      <x:c r="AE5" s="12" t="str">
        <x:v>Média</x:v>
      </x:c>
      <x:c r="AF5" s="12" t="str">
        <x:v>Anel delicado / brinco / pingente</x:v>
      </x:c>
      <x:c r="AG5" s="12" t="str">
        <x:v>Anel delicado / brinco / pingente</x:v>
      </x:c>
      <x:c r="AH5" s="12" t="str">
        <x:v>Coleção</x:v>
      </x:c>
      <x:c r="AI5" s="12" t="str"/>
      <x:c r="AJ5" s="12" t="str"/>
      <x:c r="AK5" s="12" t="str"/>
      <x:c r="AL5" s="12" t="str"/>
      <x:c r="AM5" s="12" t="str">
        <x:v>Não informado</x:v>
      </x:c>
      <x:c r="AN5" s="12" t="str"/>
      <x:c r="AO5" s="12" t="str">
        <x:v>2026-07-01</x:v>
      </x:c>
      <x:c r="AP5" s="12" t="str">
        <x:v>2026-07-19</x:v>
      </x:c>
      <x:c r="AQ5" s="12" t="str">
        <x:v>Alta</x:v>
      </x:c>
      <x:c r="AR5" s="12" t="str">
        <x:v>Inventário mestre completo atualizado em 2026-07-01</x:v>
      </x:c>
      <x:c r="AS5" s="12" t="str">
        <x:v>Avaliar certificação; Precificação individual pendente</x:v>
      </x:c>
      <x:c r="AT5" s="12" t="str">
        <x:v>Peso/medidas informados pelo fornecedor.</x:v>
      </x:c>
    </x:row>
    <x:row r="6">
      <x:c r="A6" s="12" t="str">
        <x:v>DG-PB-0005</x:v>
      </x:c>
      <x:c r="B6" s="12" t="str"/>
      <x:c r="C6" s="12" t="str">
        <x:v>Paraíba Collection</x:v>
      </x:c>
      <x:c r="D6" s="12" t="str">
        <x:v>Turmalinas</x:v>
      </x:c>
      <x:c r="E6" s="12" t="str">
        <x:v>Elbaíta</x:v>
      </x:c>
      <x:c r="F6" s="12" t="str">
        <x:v>Turmalina Paraíba</x:v>
      </x:c>
      <x:c r="G6" s="12" t="str">
        <x:v>Gema individual</x:v>
      </x:c>
      <x:c r="H6" s="18" t="n">
        <x:v>1</x:v>
      </x:c>
      <x:c r="I6" s="12" t="str">
        <x:v>Retangular</x:v>
      </x:c>
      <x:c r="J6" s="12" t="str">
        <x:v>2.70 x 2.35</x:v>
      </x:c>
      <x:c r="K6" s="14" t="n">
        <x:v>0.09</x:v>
      </x:c>
      <x:c r="L6" s="12" t="str">
        <x:v>Sim</x:v>
      </x:c>
      <x:c r="M6" s="12" t="str">
        <x:v>Fornecedor</x:v>
      </x:c>
      <x:c r="N6" s="12" t="str">
        <x:v>Azul Neon</x:v>
      </x:c>
      <x:c r="O6" s="12" t="str">
        <x:v>Transparente a translúcida</x:v>
      </x:c>
      <x:c r="P6" s="12" t="str">
        <x:v>Brasil</x:v>
      </x:c>
      <x:c r="Q6" s="12" t="str">
        <x:v>Não avaliado / não informado</x:v>
      </x:c>
      <x:c r="R6" s="12" t="str">
        <x:v>Não</x:v>
      </x:c>
      <x:c r="S6" s="12" t="str"/>
      <x:c r="T6" s="12" t="str"/>
      <x:c r="U6" s="20" t="n">
        <x:v>550</x:v>
      </x:c>
      <x:c r="V6" s="20"/>
      <x:c r="W6" s="20"/>
      <x:c r="X6" s="20"/>
      <x:c r="Y6" s="20"/>
      <x:c r="Z6" s="20"/>
      <x:c r="AA6" s="20"/>
      <x:c r="AB6" s="12" t="str">
        <x:v>Pendente de precificação individual</x:v>
      </x:c>
      <x:c r="AC6" s="16" t="n">
        <x:v>8</x:v>
      </x:c>
      <x:c r="AD6" s="12" t="str">
        <x:v>A-</x:v>
      </x:c>
      <x:c r="AE6" s="12" t="str">
        <x:v>Média</x:v>
      </x:c>
      <x:c r="AF6" s="12" t="str">
        <x:v>Halo / composição geométrica</x:v>
      </x:c>
      <x:c r="AG6" s="12" t="str">
        <x:v>Halo / composição geométrica</x:v>
      </x:c>
      <x:c r="AH6" s="12" t="str">
        <x:v>Coleção</x:v>
      </x:c>
      <x:c r="AI6" s="12" t="str"/>
      <x:c r="AJ6" s="12" t="str"/>
      <x:c r="AK6" s="12" t="str"/>
      <x:c r="AL6" s="12" t="str"/>
      <x:c r="AM6" s="12" t="str">
        <x:v>Não informado</x:v>
      </x:c>
      <x:c r="AN6" s="12" t="str"/>
      <x:c r="AO6" s="12" t="str">
        <x:v>2026-07-01</x:v>
      </x:c>
      <x:c r="AP6" s="12" t="str">
        <x:v>2026-07-19</x:v>
      </x:c>
      <x:c r="AQ6" s="12" t="str">
        <x:v>Alta</x:v>
      </x:c>
      <x:c r="AR6" s="12" t="str">
        <x:v>Inventário mestre completo atualizado em 2026-07-01</x:v>
      </x:c>
      <x:c r="AS6" s="12" t="str">
        <x:v>Avaliar certificação; Precificação individual pendente</x:v>
      </x:c>
      <x:c r="AT6" s="12" t="str">
        <x:v>Peso/medidas informados pelo fornecedor.</x:v>
      </x:c>
    </x:row>
    <x:row r="7">
      <x:c r="A7" s="12" t="str">
        <x:v>DG-PB-0006</x:v>
      </x:c>
      <x:c r="B7" s="12" t="str"/>
      <x:c r="C7" s="12" t="str">
        <x:v>Paraíba Collection</x:v>
      </x:c>
      <x:c r="D7" s="12" t="str">
        <x:v>Turmalinas</x:v>
      </x:c>
      <x:c r="E7" s="12" t="str">
        <x:v>Elbaíta</x:v>
      </x:c>
      <x:c r="F7" s="12" t="str">
        <x:v>Turmalina Paraíba</x:v>
      </x:c>
      <x:c r="G7" s="12" t="str">
        <x:v>Gema individual</x:v>
      </x:c>
      <x:c r="H7" s="18" t="n">
        <x:v>1</x:v>
      </x:c>
      <x:c r="I7" s="12" t="str">
        <x:v>Gota</x:v>
      </x:c>
      <x:c r="J7" s="12" t="str">
        <x:v>4.25 x 3.08</x:v>
      </x:c>
      <x:c r="K7" s="14" t="n">
        <x:v>0.19</x:v>
      </x:c>
      <x:c r="L7" s="12" t="str">
        <x:v>Sim</x:v>
      </x:c>
      <x:c r="M7" s="12" t="str">
        <x:v>Fornecedor</x:v>
      </x:c>
      <x:c r="N7" s="12" t="str">
        <x:v>Azul Intenso Neon</x:v>
      </x:c>
      <x:c r="O7" s="12" t="str">
        <x:v>Transparente a translúcida</x:v>
      </x:c>
      <x:c r="P7" s="12" t="str">
        <x:v>Brasil</x:v>
      </x:c>
      <x:c r="Q7" s="12" t="str">
        <x:v>Não avaliado / não informado</x:v>
      </x:c>
      <x:c r="R7" s="12" t="str">
        <x:v>Não</x:v>
      </x:c>
      <x:c r="S7" s="12" t="str"/>
      <x:c r="T7" s="12" t="str"/>
      <x:c r="U7" s="20" t="n">
        <x:v>1235</x:v>
      </x:c>
      <x:c r="V7" s="20"/>
      <x:c r="W7" s="20"/>
      <x:c r="X7" s="20"/>
      <x:c r="Y7" s="20"/>
      <x:c r="Z7" s="20"/>
      <x:c r="AA7" s="20"/>
      <x:c r="AB7" s="12" t="str">
        <x:v>Pendente de precificação individual</x:v>
      </x:c>
      <x:c r="AC7" s="16" t="n">
        <x:v>8.2</x:v>
      </x:c>
      <x:c r="AD7" s="12" t="str">
        <x:v>A</x:v>
      </x:c>
      <x:c r="AE7" s="12" t="str">
        <x:v>Média</x:v>
      </x:c>
      <x:c r="AF7" s="12" t="str">
        <x:v>Pingente / anel delicado</x:v>
      </x:c>
      <x:c r="AG7" s="12" t="str">
        <x:v>Pingente / anel delicado</x:v>
      </x:c>
      <x:c r="AH7" s="12" t="str">
        <x:v>Coleção</x:v>
      </x:c>
      <x:c r="AI7" s="12" t="str"/>
      <x:c r="AJ7" s="12" t="str"/>
      <x:c r="AK7" s="12" t="str"/>
      <x:c r="AL7" s="12" t="str"/>
      <x:c r="AM7" s="12" t="str">
        <x:v>Não informado</x:v>
      </x:c>
      <x:c r="AN7" s="12" t="str"/>
      <x:c r="AO7" s="12" t="str">
        <x:v>2026-07-01</x:v>
      </x:c>
      <x:c r="AP7" s="12" t="str">
        <x:v>2026-07-19</x:v>
      </x:c>
      <x:c r="AQ7" s="12" t="str">
        <x:v>Alta</x:v>
      </x:c>
      <x:c r="AR7" s="12" t="str">
        <x:v>Inventário mestre completo atualizado em 2026-07-01</x:v>
      </x:c>
      <x:c r="AS7" s="12" t="str">
        <x:v>Avaliar certificação; Precificação individual pendente</x:v>
      </x:c>
      <x:c r="AT7" s="12" t="str">
        <x:v>Peso/medidas informados pelo fornecedor.</x:v>
      </x:c>
    </x:row>
    <x:row r="8">
      <x:c r="A8" s="12" t="str">
        <x:v>DG-PB-0007</x:v>
      </x:c>
      <x:c r="B8" s="12" t="str"/>
      <x:c r="C8" s="12" t="str">
        <x:v>Paraíba Collection</x:v>
      </x:c>
      <x:c r="D8" s="12" t="str">
        <x:v>Turmalinas</x:v>
      </x:c>
      <x:c r="E8" s="12" t="str">
        <x:v>Elbaíta</x:v>
      </x:c>
      <x:c r="F8" s="12" t="str">
        <x:v>Turmalina Paraíba</x:v>
      </x:c>
      <x:c r="G8" s="12" t="str">
        <x:v>Gema individual</x:v>
      </x:c>
      <x:c r="H8" s="18" t="n">
        <x:v>1</x:v>
      </x:c>
      <x:c r="I8" s="12" t="str">
        <x:v>Redonda</x:v>
      </x:c>
      <x:c r="J8" s="12" t="str">
        <x:v>2.71</x:v>
      </x:c>
      <x:c r="K8" s="14" t="n">
        <x:v>0.08</x:v>
      </x:c>
      <x:c r="L8" s="12" t="str">
        <x:v>Sim</x:v>
      </x:c>
      <x:c r="M8" s="12" t="str">
        <x:v>Fornecedor</x:v>
      </x:c>
      <x:c r="N8" s="12" t="str">
        <x:v>Azul Esverdeado Neon</x:v>
      </x:c>
      <x:c r="O8" s="12" t="str">
        <x:v>Transparente a translúcida</x:v>
      </x:c>
      <x:c r="P8" s="12" t="str">
        <x:v>Brasil</x:v>
      </x:c>
      <x:c r="Q8" s="12" t="str">
        <x:v>Não avaliado / não informado</x:v>
      </x:c>
      <x:c r="R8" s="12" t="str">
        <x:v>Não</x:v>
      </x:c>
      <x:c r="S8" s="12" t="str"/>
      <x:c r="T8" s="12" t="str"/>
      <x:c r="U8" s="20" t="n">
        <x:v>608</x:v>
      </x:c>
      <x:c r="V8" s="20"/>
      <x:c r="W8" s="20"/>
      <x:c r="X8" s="20"/>
      <x:c r="Y8" s="20"/>
      <x:c r="Z8" s="20"/>
      <x:c r="AA8" s="20"/>
      <x:c r="AB8" s="12" t="str">
        <x:v>Pendente de precificação individual</x:v>
      </x:c>
      <x:c r="AC8" s="16" t="n">
        <x:v>7.8</x:v>
      </x:c>
      <x:c r="AD8" s="12" t="str">
        <x:v>A-</x:v>
      </x:c>
      <x:c r="AE8" s="12" t="str">
        <x:v>Média</x:v>
      </x:c>
      <x:c r="AF8" s="12" t="str">
        <x:v>Brinco / detalhe</x:v>
      </x:c>
      <x:c r="AG8" s="12" t="str">
        <x:v>Brinco / detalhe</x:v>
      </x:c>
      <x:c r="AH8" s="12" t="str">
        <x:v>Coleção</x:v>
      </x:c>
      <x:c r="AI8" s="12" t="str"/>
      <x:c r="AJ8" s="12" t="str"/>
      <x:c r="AK8" s="12" t="str"/>
      <x:c r="AL8" s="12" t="str"/>
      <x:c r="AM8" s="12" t="str">
        <x:v>Não informado</x:v>
      </x:c>
      <x:c r="AN8" s="12" t="str"/>
      <x:c r="AO8" s="12" t="str">
        <x:v>2026-07-01</x:v>
      </x:c>
      <x:c r="AP8" s="12" t="str">
        <x:v>2026-07-19</x:v>
      </x:c>
      <x:c r="AQ8" s="12" t="str">
        <x:v>Alta</x:v>
      </x:c>
      <x:c r="AR8" s="12" t="str">
        <x:v>Inventário mestre completo atualizado em 2026-07-01</x:v>
      </x:c>
      <x:c r="AS8" s="12" t="str">
        <x:v>Avaliar certificação; Precificação individual pendente</x:v>
      </x:c>
      <x:c r="AT8" s="12" t="str">
        <x:v>Peso/medidas informados pelo fornecedor.</x:v>
      </x:c>
    </x:row>
    <x:row r="9">
      <x:c r="A9" s="12" t="str">
        <x:v>DG-PB-0008</x:v>
      </x:c>
      <x:c r="B9" s="12" t="str"/>
      <x:c r="C9" s="12" t="str">
        <x:v>Paraíba Collection</x:v>
      </x:c>
      <x:c r="D9" s="12" t="str">
        <x:v>Turmalinas</x:v>
      </x:c>
      <x:c r="E9" s="12" t="str">
        <x:v>Elbaíta</x:v>
      </x:c>
      <x:c r="F9" s="12" t="str">
        <x:v>Turmalina Paraíba</x:v>
      </x:c>
      <x:c r="G9" s="12" t="str">
        <x:v>Gema individual</x:v>
      </x:c>
      <x:c r="H9" s="18" t="n">
        <x:v>1</x:v>
      </x:c>
      <x:c r="I9" s="12" t="str">
        <x:v>Retangular</x:v>
      </x:c>
      <x:c r="J9" s="12" t="str">
        <x:v>3.04 x 2.77</x:v>
      </x:c>
      <x:c r="K9" s="14" t="n">
        <x:v>0.095</x:v>
      </x:c>
      <x:c r="L9" s="12" t="str">
        <x:v>Sim</x:v>
      </x:c>
      <x:c r="M9" s="12" t="str">
        <x:v>Fornecedor</x:v>
      </x:c>
      <x:c r="N9" s="12" t="str">
        <x:v>Azul Intenso</x:v>
      </x:c>
      <x:c r="O9" s="12" t="str">
        <x:v>Transparente a translúcida</x:v>
      </x:c>
      <x:c r="P9" s="12" t="str">
        <x:v>Brasil</x:v>
      </x:c>
      <x:c r="Q9" s="12" t="str">
        <x:v>Não avaliado / não informado</x:v>
      </x:c>
      <x:c r="R9" s="12" t="str">
        <x:v>Não</x:v>
      </x:c>
      <x:c r="S9" s="12" t="str"/>
      <x:c r="T9" s="12" t="str"/>
      <x:c r="U9" s="20" t="n">
        <x:v>432</x:v>
      </x:c>
      <x:c r="V9" s="20"/>
      <x:c r="W9" s="20"/>
      <x:c r="X9" s="20"/>
      <x:c r="Y9" s="20"/>
      <x:c r="Z9" s="20"/>
      <x:c r="AA9" s="20"/>
      <x:c r="AB9" s="12" t="str">
        <x:v>Pendente de precificação individual</x:v>
      </x:c>
      <x:c r="AC9" s="16" t="n">
        <x:v>8.2</x:v>
      </x:c>
      <x:c r="AD9" s="12" t="str">
        <x:v>A</x:v>
      </x:c>
      <x:c r="AE9" s="12" t="str">
        <x:v>Média</x:v>
      </x:c>
      <x:c r="AF9" s="12" t="str">
        <x:v>Anel geométrico / halo</x:v>
      </x:c>
      <x:c r="AG9" s="12" t="str">
        <x:v>Anel geométrico / halo</x:v>
      </x:c>
      <x:c r="AH9" s="12" t="str">
        <x:v>Coleção</x:v>
      </x:c>
      <x:c r="AI9" s="12" t="str"/>
      <x:c r="AJ9" s="12" t="str"/>
      <x:c r="AK9" s="12" t="str"/>
      <x:c r="AL9" s="12" t="str"/>
      <x:c r="AM9" s="12" t="str">
        <x:v>Não informado</x:v>
      </x:c>
      <x:c r="AN9" s="12" t="str"/>
      <x:c r="AO9" s="12" t="str">
        <x:v>2026-07-01</x:v>
      </x:c>
      <x:c r="AP9" s="12" t="str">
        <x:v>2026-07-19</x:v>
      </x:c>
      <x:c r="AQ9" s="12" t="str">
        <x:v>Alta</x:v>
      </x:c>
      <x:c r="AR9" s="12" t="str">
        <x:v>Inventário mestre completo atualizado em 2026-07-01</x:v>
      </x:c>
      <x:c r="AS9" s="12" t="str">
        <x:v>Avaliar certificação; Precificação individual pendente</x:v>
      </x:c>
      <x:c r="AT9" s="12" t="str">
        <x:v>Peso/medidas informados pelo fornecedor.</x:v>
      </x:c>
    </x:row>
    <x:row r="10">
      <x:c r="A10" s="12" t="str">
        <x:v>DG-PB-0009</x:v>
      </x:c>
      <x:c r="B10" s="12" t="str"/>
      <x:c r="C10" s="12" t="str">
        <x:v>Paraíba Collection</x:v>
      </x:c>
      <x:c r="D10" s="12" t="str">
        <x:v>Turmalinas</x:v>
      </x:c>
      <x:c r="E10" s="12" t="str">
        <x:v>Elbaíta</x:v>
      </x:c>
      <x:c r="F10" s="12" t="str">
        <x:v>Turmalina Paraíba</x:v>
      </x:c>
      <x:c r="G10" s="12" t="str">
        <x:v>Gema individual</x:v>
      </x:c>
      <x:c r="H10" s="18" t="n">
        <x:v>1</x:v>
      </x:c>
      <x:c r="I10" s="12" t="str">
        <x:v>Gota</x:v>
      </x:c>
      <x:c r="J10" s="12" t="str">
        <x:v>3.73 x 2.86</x:v>
      </x:c>
      <x:c r="K10" s="14" t="n">
        <x:v>0.105</x:v>
      </x:c>
      <x:c r="L10" s="12" t="str">
        <x:v>Sim</x:v>
      </x:c>
      <x:c r="M10" s="12" t="str">
        <x:v>Fornecedor</x:v>
      </x:c>
      <x:c r="N10" s="12" t="str">
        <x:v>Azul Neon</x:v>
      </x:c>
      <x:c r="O10" s="12" t="str">
        <x:v>Transparente a translúcida</x:v>
      </x:c>
      <x:c r="P10" s="12" t="str">
        <x:v>Brasil</x:v>
      </x:c>
      <x:c r="Q10" s="12" t="str">
        <x:v>Não avaliado / não informado</x:v>
      </x:c>
      <x:c r="R10" s="12" t="str">
        <x:v>Não</x:v>
      </x:c>
      <x:c r="S10" s="12" t="str"/>
      <x:c r="T10" s="12" t="str"/>
      <x:c r="U10" s="20" t="n">
        <x:v>398</x:v>
      </x:c>
      <x:c r="V10" s="20"/>
      <x:c r="W10" s="20"/>
      <x:c r="X10" s="20"/>
      <x:c r="Y10" s="20"/>
      <x:c r="Z10" s="20"/>
      <x:c r="AA10" s="20"/>
      <x:c r="AB10" s="12" t="str">
        <x:v>Pendente de precificação individual</x:v>
      </x:c>
      <x:c r="AC10" s="16" t="n">
        <x:v>7.6</x:v>
      </x:c>
      <x:c r="AD10" s="12" t="str">
        <x:v>A-</x:v>
      </x:c>
      <x:c r="AE10" s="12" t="str">
        <x:v>Média</x:v>
      </x:c>
      <x:c r="AF10" s="12" t="str">
        <x:v>Pingente delicado</x:v>
      </x:c>
      <x:c r="AG10" s="12" t="str">
        <x:v>Pingente delicado</x:v>
      </x:c>
      <x:c r="AH10" s="12" t="str">
        <x:v>Coleção</x:v>
      </x:c>
      <x:c r="AI10" s="12" t="str"/>
      <x:c r="AJ10" s="12" t="str"/>
      <x:c r="AK10" s="12" t="str"/>
      <x:c r="AL10" s="12" t="str"/>
      <x:c r="AM10" s="12" t="str">
        <x:v>Não informado</x:v>
      </x:c>
      <x:c r="AN10" s="12" t="str"/>
      <x:c r="AO10" s="12" t="str">
        <x:v>2026-07-01</x:v>
      </x:c>
      <x:c r="AP10" s="12" t="str">
        <x:v>2026-07-19</x:v>
      </x:c>
      <x:c r="AQ10" s="12" t="str">
        <x:v>Alta</x:v>
      </x:c>
      <x:c r="AR10" s="12" t="str">
        <x:v>Inventário mestre completo atualizado em 2026-07-01</x:v>
      </x:c>
      <x:c r="AS10" s="12" t="str">
        <x:v>Avaliar certificação; Precificação individual pendente</x:v>
      </x:c>
      <x:c r="AT10" s="12" t="str">
        <x:v>Peso/medidas informados pelo fornecedor.</x:v>
      </x:c>
    </x:row>
    <x:row r="11">
      <x:c r="A11" s="12" t="str">
        <x:v>DG-PB-0010</x:v>
      </x:c>
      <x:c r="B11" s="12" t="str"/>
      <x:c r="C11" s="12" t="str">
        <x:v>Paraíba Collection</x:v>
      </x:c>
      <x:c r="D11" s="12" t="str">
        <x:v>Turmalinas</x:v>
      </x:c>
      <x:c r="E11" s="12" t="str">
        <x:v>Elbaíta</x:v>
      </x:c>
      <x:c r="F11" s="12" t="str">
        <x:v>Turmalina Paraíba</x:v>
      </x:c>
      <x:c r="G11" s="12" t="str">
        <x:v>Gema individual</x:v>
      </x:c>
      <x:c r="H11" s="18" t="n">
        <x:v>1</x:v>
      </x:c>
      <x:c r="I11" s="12" t="str">
        <x:v>Redonda</x:v>
      </x:c>
      <x:c r="J11" s="12" t="str">
        <x:v>3.25</x:v>
      </x:c>
      <x:c r="K11" s="14" t="n">
        <x:v>0.11</x:v>
      </x:c>
      <x:c r="L11" s="12" t="str">
        <x:v>Sim</x:v>
      </x:c>
      <x:c r="M11" s="12" t="str">
        <x:v>Fornecedor</x:v>
      </x:c>
      <x:c r="N11" s="12" t="str">
        <x:v>Verde Azulado Neon</x:v>
      </x:c>
      <x:c r="O11" s="12" t="str">
        <x:v>Transparente a translúcida</x:v>
      </x:c>
      <x:c r="P11" s="12" t="str">
        <x:v>Brasil</x:v>
      </x:c>
      <x:c r="Q11" s="12" t="str">
        <x:v>Não avaliado / não informado</x:v>
      </x:c>
      <x:c r="R11" s="12" t="str">
        <x:v>Não</x:v>
      </x:c>
      <x:c r="S11" s="12" t="str"/>
      <x:c r="T11" s="12" t="str"/>
      <x:c r="U11" s="20" t="n">
        <x:v>350</x:v>
      </x:c>
      <x:c r="V11" s="20"/>
      <x:c r="W11" s="20"/>
      <x:c r="X11" s="20"/>
      <x:c r="Y11" s="20"/>
      <x:c r="Z11" s="20"/>
      <x:c r="AA11" s="20"/>
      <x:c r="AB11" s="12" t="str">
        <x:v>Pendente de precificação individual</x:v>
      </x:c>
      <x:c r="AC11" s="16" t="n">
        <x:v>7.7</x:v>
      </x:c>
      <x:c r="AD11" s="12" t="str">
        <x:v>A-</x:v>
      </x:c>
      <x:c r="AE11" s="12" t="str">
        <x:v>Média</x:v>
      </x:c>
      <x:c r="AF11" s="12" t="str">
        <x:v>Brinco / detalhe</x:v>
      </x:c>
      <x:c r="AG11" s="12" t="str">
        <x:v>Brinco / detalhe</x:v>
      </x:c>
      <x:c r="AH11" s="12" t="str">
        <x:v>Coleção</x:v>
      </x:c>
      <x:c r="AI11" s="12" t="str"/>
      <x:c r="AJ11" s="12" t="str"/>
      <x:c r="AK11" s="12" t="str"/>
      <x:c r="AL11" s="12" t="str"/>
      <x:c r="AM11" s="12" t="str">
        <x:v>Não informado</x:v>
      </x:c>
      <x:c r="AN11" s="12" t="str"/>
      <x:c r="AO11" s="12" t="str">
        <x:v>2026-07-01</x:v>
      </x:c>
      <x:c r="AP11" s="12" t="str">
        <x:v>2026-07-19</x:v>
      </x:c>
      <x:c r="AQ11" s="12" t="str">
        <x:v>Alta</x:v>
      </x:c>
      <x:c r="AR11" s="12" t="str">
        <x:v>Inventário mestre completo atualizado em 2026-07-01</x:v>
      </x:c>
      <x:c r="AS11" s="12" t="str">
        <x:v>Avaliar certificação; Precificação individual pendente</x:v>
      </x:c>
      <x:c r="AT11" s="12" t="str">
        <x:v>Peso/medidas informados pelo fornecedor.</x:v>
      </x:c>
    </x:row>
    <x:row r="12">
      <x:c r="A12" s="12" t="str">
        <x:v>DG-PB-0011</x:v>
      </x:c>
      <x:c r="B12" s="12" t="str"/>
      <x:c r="C12" s="12" t="str">
        <x:v>Paraíba Collection</x:v>
      </x:c>
      <x:c r="D12" s="12" t="str">
        <x:v>Turmalinas</x:v>
      </x:c>
      <x:c r="E12" s="12" t="str">
        <x:v>Elbaíta</x:v>
      </x:c>
      <x:c r="F12" s="12" t="str">
        <x:v>Turmalina Paraíba</x:v>
      </x:c>
      <x:c r="G12" s="12" t="str">
        <x:v>Gema individual</x:v>
      </x:c>
      <x:c r="H12" s="18" t="n">
        <x:v>1</x:v>
      </x:c>
      <x:c r="I12" s="12" t="str">
        <x:v>Gota</x:v>
      </x:c>
      <x:c r="J12" s="12" t="str">
        <x:v>4.34 x 3.13</x:v>
      </x:c>
      <x:c r="K12" s="14" t="n">
        <x:v>0.165</x:v>
      </x:c>
      <x:c r="L12" s="12" t="str">
        <x:v>Sim</x:v>
      </x:c>
      <x:c r="M12" s="12" t="str">
        <x:v>Fornecedor</x:v>
      </x:c>
      <x:c r="N12" s="12" t="str">
        <x:v>Verde Neon</x:v>
      </x:c>
      <x:c r="O12" s="12" t="str">
        <x:v>Transparente a translúcida</x:v>
      </x:c>
      <x:c r="P12" s="12" t="str">
        <x:v>Brasil</x:v>
      </x:c>
      <x:c r="Q12" s="12" t="str">
        <x:v>Não avaliado / não informado</x:v>
      </x:c>
      <x:c r="R12" s="12" t="str">
        <x:v>Não</x:v>
      </x:c>
      <x:c r="S12" s="12" t="str"/>
      <x:c r="T12" s="12" t="str"/>
      <x:c r="U12" s="20" t="n">
        <x:v>640</x:v>
      </x:c>
      <x:c r="V12" s="20"/>
      <x:c r="W12" s="20"/>
      <x:c r="X12" s="20"/>
      <x:c r="Y12" s="20"/>
      <x:c r="Z12" s="20"/>
      <x:c r="AA12" s="20"/>
      <x:c r="AB12" s="12" t="str">
        <x:v>Pendente de precificação individual</x:v>
      </x:c>
      <x:c r="AC12" s="16" t="n">
        <x:v>8</x:v>
      </x:c>
      <x:c r="AD12" s="12" t="str">
        <x:v>A-</x:v>
      </x:c>
      <x:c r="AE12" s="12" t="str">
        <x:v>Média</x:v>
      </x:c>
      <x:c r="AF12" s="12" t="str">
        <x:v>Pingente / composição</x:v>
      </x:c>
      <x:c r="AG12" s="12" t="str">
        <x:v>Pingente / composição</x:v>
      </x:c>
      <x:c r="AH12" s="12" t="str">
        <x:v>Coleção</x:v>
      </x:c>
      <x:c r="AI12" s="12" t="str"/>
      <x:c r="AJ12" s="12" t="str"/>
      <x:c r="AK12" s="12" t="str"/>
      <x:c r="AL12" s="12" t="str"/>
      <x:c r="AM12" s="12" t="str">
        <x:v>Não informado</x:v>
      </x:c>
      <x:c r="AN12" s="12" t="str"/>
      <x:c r="AO12" s="12" t="str">
        <x:v>2026-07-01</x:v>
      </x:c>
      <x:c r="AP12" s="12" t="str">
        <x:v>2026-07-19</x:v>
      </x:c>
      <x:c r="AQ12" s="12" t="str">
        <x:v>Alta</x:v>
      </x:c>
      <x:c r="AR12" s="12" t="str">
        <x:v>Inventário mestre completo atualizado em 2026-07-01</x:v>
      </x:c>
      <x:c r="AS12" s="12" t="str">
        <x:v>Avaliar certificação; Precificação individual pendente</x:v>
      </x:c>
      <x:c r="AT12" s="12" t="str">
        <x:v>Peso/medidas informados pelo fornecedor.</x:v>
      </x:c>
    </x:row>
  </x:sheetData>
  <x:conditionalFormatting sqref="K2:K12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{03C4FF3F-3B94-EE91-1957-8C5FB6D79A95}</x14:id>
        </x:ext>
      </x:extLst>
    </x:cfRule>
  </x:conditionalFormatting>
  <x:conditionalFormatting sqref="AC2:AC12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12">
    <x:cfRule type="expression" dxfId="6" priority="3">
      <x:formula>AB2="Pendente de precificação individual"</x:formula>
    </x:cfRule>
  </x:conditionalFormatting>
  <x:conditionalFormatting sqref="AS2:AS12">
    <x:cfRule type="expression" dxfId="7" priority="4">
      <x:formula>LEN(AS2)&gt;0</x:formula>
    </x:cfRule>
  </x:conditionalFormatting>
  <x:dataValidations count="2">
    <x:dataValidation type="list" sqref="AH2:AH12">
      <x:formula1>"Coleção,Estoque,Estoque para produção,Em identificação,Em certificação,Em joia,Vendido"</x:formula1>
    </x:dataValidation>
    <x:dataValidation type="list" sqref="AE2:AE12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0660ec75be437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3C4FF3F-3B94-EE91-1957-8C5FB6D79A95}">
            <x14:dataBar gradient="1">
              <x14:cfvo type="min"/>
              <x14:cfvo type="max"/>
              <x14:fillColor rgb="FF4C8A72"/>
            </x14:dataBar>
          </x14:cfRule>
          <xm:sqref>K2:K12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DG-RB-001</x:v>
      </x:c>
      <x:c r="B2" s="12" t="str"/>
      <x:c r="C2" s="12" t="str">
        <x:v>Ruby/Corundum Collection</x:v>
      </x:c>
      <x:c r="D2" s="12" t="str">
        <x:v>Coríndons</x:v>
      </x:c>
      <x:c r="E2" s="12" t="str">
        <x:v>Coríndon</x:v>
      </x:c>
      <x:c r="F2" s="12" t="str">
        <x:v>Rubi brasileiro provisório</x:v>
      </x:c>
      <x:c r="G2" s="12" t="str">
        <x:v>Gema individual</x:v>
      </x:c>
      <x:c r="H2" s="18" t="n">
        <x:v>1</x:v>
      </x:c>
      <x:c r="I2" s="12" t="str">
        <x:v>Cushion</x:v>
      </x:c>
      <x:c r="J2" s="12" t="str">
        <x:v>12 x 10 x 5</x:v>
      </x:c>
      <x:c r="K2" s="14" t="n">
        <x:v>7.13</x:v>
      </x:c>
      <x:c r="L2" s="12" t="str">
        <x:v>Sim</x:v>
      </x:c>
      <x:c r="M2" s="12" t="str">
        <x:v>Balança / informado</x:v>
      </x:c>
      <x:c r="N2" s="12" t="str">
        <x:v>Rosa avermelhado</x:v>
      </x:c>
      <x:c r="O2" s="12" t="str">
        <x:v>Translúcida</x:v>
      </x:c>
      <x:c r="P2" s="12" t="str">
        <x:v>Bahia</x:v>
      </x:c>
      <x:c r="Q2" s="12" t="str">
        <x:v>Não avaliado / não informado</x:v>
      </x:c>
      <x:c r="R2" s="12" t="str">
        <x:v>Não</x:v>
      </x:c>
      <x:c r="S2" s="12" t="str"/>
      <x:c r="T2" s="12" t="str"/>
      <x:c r="U2" s="20"/>
      <x:c r="V2" s="20"/>
      <x:c r="W2" s="20"/>
      <x:c r="X2" s="20"/>
      <x:c r="Y2" s="20"/>
      <x:c r="Z2" s="20"/>
      <x:c r="AA2" s="20"/>
      <x:c r="AB2" s="12" t="str">
        <x:v>Pendente de precificação individual</x:v>
      </x:c>
      <x:c r="AC2" s="16" t="n">
        <x:v>5.5</x:v>
      </x:c>
      <x:c r="AD2" s="12" t="str">
        <x:v>C</x:v>
      </x:c>
      <x:c r="AE2" s="12" t="str">
        <x:v>Média</x:v>
      </x:c>
      <x:c r="AF2" s="12" t="str">
        <x:v>Anel, pingente ou joia comercial</x:v>
      </x:c>
      <x:c r="AG2" s="12" t="str">
        <x:v>Anel, pingente ou joia comercial</x:v>
      </x:c>
      <x:c r="AH2" s="12" t="str">
        <x:v>Coleção</x:v>
      </x:c>
      <x:c r="AI2" s="12" t="str"/>
      <x:c r="AJ2" s="12" t="str"/>
      <x:c r="AK2" s="12" t="str"/>
      <x:c r="AL2" s="12" t="str"/>
      <x:c r="AM2" s="12" t="str">
        <x:v>Não informado</x:v>
      </x:c>
      <x:c r="AN2" s="12" t="str"/>
      <x:c r="AO2" s="12" t="str">
        <x:v>2026-07-01</x:v>
      </x:c>
      <x:c r="AP2" s="12" t="str">
        <x:v>2026-07-19</x:v>
      </x:c>
      <x:c r="AQ2" s="12" t="str">
        <x:v>Alta</x:v>
      </x:c>
      <x:c r="AR2" s="12" t="str">
        <x:v>Inventário mestre completo atualizado em 2026-07-01</x:v>
      </x:c>
      <x:c r="AS2" s="12" t="str">
        <x:v>Confirmar identificação em laboratório; Avaliar certificação; Precificação individual pendente</x:v>
      </x:c>
      <x:c r="AT2" s="12" t="str">
        <x:v>Identificação visual; lote total comprado por R$1.100; confirmar em laboratório. Peso oficial atualizado: 7.130 ct.</x:v>
      </x:c>
    </x:row>
    <x:row r="3">
      <x:c r="A3" s="12" t="str">
        <x:v>DG-RB-002</x:v>
      </x:c>
      <x:c r="B3" s="12" t="str"/>
      <x:c r="C3" s="12" t="str">
        <x:v>Ruby/Corundum Collection</x:v>
      </x:c>
      <x:c r="D3" s="12" t="str">
        <x:v>Coríndons</x:v>
      </x:c>
      <x:c r="E3" s="12" t="str">
        <x:v>Coríndon</x:v>
      </x:c>
      <x:c r="F3" s="12" t="str">
        <x:v>Rubi brasileiro provisório</x:v>
      </x:c>
      <x:c r="G3" s="12" t="str">
        <x:v>Gema individual</x:v>
      </x:c>
      <x:c r="H3" s="18" t="n">
        <x:v>1</x:v>
      </x:c>
      <x:c r="I3" s="12" t="str">
        <x:v>Octogonal/Emerald Cut</x:v>
      </x:c>
      <x:c r="J3" s="12" t="str">
        <x:v>12 x 9 x 5</x:v>
      </x:c>
      <x:c r="K3" s="14" t="n">
        <x:v>5</x:v>
      </x:c>
      <x:c r="L3" s="12" t="str">
        <x:v>Sim</x:v>
      </x:c>
      <x:c r="M3" s="12" t="str">
        <x:v>Balança / informado</x:v>
      </x:c>
      <x:c r="N3" s="12" t="str">
        <x:v>Rosa avermelhado</x:v>
      </x:c>
      <x:c r="O3" s="12" t="str">
        <x:v>Translúcida</x:v>
      </x:c>
      <x:c r="P3" s="12" t="str">
        <x:v>Bahia</x:v>
      </x:c>
      <x:c r="Q3" s="12" t="str">
        <x:v>Não avaliado / não informado</x:v>
      </x:c>
      <x:c r="R3" s="12" t="str">
        <x:v>Não</x:v>
      </x:c>
      <x:c r="S3" s="12" t="str"/>
      <x:c r="T3" s="12" t="str"/>
      <x:c r="U3" s="20"/>
      <x:c r="V3" s="20"/>
      <x:c r="W3" s="20"/>
      <x:c r="X3" s="20"/>
      <x:c r="Y3" s="20"/>
      <x:c r="Z3" s="20"/>
      <x:c r="AA3" s="20"/>
      <x:c r="AB3" s="12" t="str">
        <x:v>Pendente de precificação individual</x:v>
      </x:c>
      <x:c r="AC3" s="16" t="n">
        <x:v>6.5</x:v>
      </x:c>
      <x:c r="AD3" s="12" t="str">
        <x:v>B/C</x:v>
      </x:c>
      <x:c r="AE3" s="12" t="str">
        <x:v>Média</x:v>
      </x:c>
      <x:c r="AF3" s="12" t="str">
        <x:v>Anel, pingente ou joia comercial</x:v>
      </x:c>
      <x:c r="AG3" s="12" t="str">
        <x:v>Anel, pingente ou joia comercial</x:v>
      </x:c>
      <x:c r="AH3" s="12" t="str">
        <x:v>Coleção</x:v>
      </x:c>
      <x:c r="AI3" s="12" t="str"/>
      <x:c r="AJ3" s="12" t="str"/>
      <x:c r="AK3" s="12" t="str"/>
      <x:c r="AL3" s="12" t="str"/>
      <x:c r="AM3" s="12" t="str">
        <x:v>Não informado</x:v>
      </x:c>
      <x:c r="AN3" s="12" t="str"/>
      <x:c r="AO3" s="12" t="str">
        <x:v>2026-07-01</x:v>
      </x:c>
      <x:c r="AP3" s="12" t="str">
        <x:v>2026-07-19</x:v>
      </x:c>
      <x:c r="AQ3" s="12" t="str">
        <x:v>Alta</x:v>
      </x:c>
      <x:c r="AR3" s="12" t="str">
        <x:v>Inventário mestre completo atualizado em 2026-07-01</x:v>
      </x:c>
      <x:c r="AS3" s="12" t="str">
        <x:v>Confirmar identificação em laboratório; Avaliar certificação; Precificação individual pendente</x:v>
      </x:c>
      <x:c r="AT3" s="12" t="str">
        <x:v>Identificação visual; lote total comprado por R$1.100; confirmar em laboratório. Peso oficial atualizado: 5.000 ct.</x:v>
      </x:c>
    </x:row>
    <x:row r="4">
      <x:c r="A4" s="12" t="str">
        <x:v>DG-RB-003</x:v>
      </x:c>
      <x:c r="B4" s="12" t="str"/>
      <x:c r="C4" s="12" t="str">
        <x:v>Ruby/Corundum Collection</x:v>
      </x:c>
      <x:c r="D4" s="12" t="str">
        <x:v>Coríndons</x:v>
      </x:c>
      <x:c r="E4" s="12" t="str">
        <x:v>Coríndon</x:v>
      </x:c>
      <x:c r="F4" s="12" t="str">
        <x:v>Rubi brasileiro provisório</x:v>
      </x:c>
      <x:c r="G4" s="12" t="str">
        <x:v>Gema individual</x:v>
      </x:c>
      <x:c r="H4" s="18" t="n">
        <x:v>1</x:v>
      </x:c>
      <x:c r="I4" s="12" t="str">
        <x:v>Cushion</x:v>
      </x:c>
      <x:c r="J4" s="12" t="str">
        <x:v>8 x 7 x 4</x:v>
      </x:c>
      <x:c r="K4" s="14" t="n">
        <x:v>2.96</x:v>
      </x:c>
      <x:c r="L4" s="12" t="str">
        <x:v>Sim</x:v>
      </x:c>
      <x:c r="M4" s="12" t="str">
        <x:v>Balança / informado</x:v>
      </x:c>
      <x:c r="N4" s="12" t="str">
        <x:v>Rosa avermelhado</x:v>
      </x:c>
      <x:c r="O4" s="12" t="str">
        <x:v>Translúcida</x:v>
      </x:c>
      <x:c r="P4" s="12" t="str">
        <x:v>Bahia</x:v>
      </x:c>
      <x:c r="Q4" s="12" t="str">
        <x:v>Não avaliado / não informado</x:v>
      </x:c>
      <x:c r="R4" s="12" t="str">
        <x:v>Não</x:v>
      </x:c>
      <x:c r="S4" s="12" t="str"/>
      <x:c r="T4" s="12" t="str"/>
      <x:c r="U4" s="20"/>
      <x:c r="V4" s="20"/>
      <x:c r="W4" s="20"/>
      <x:c r="X4" s="20"/>
      <x:c r="Y4" s="20"/>
      <x:c r="Z4" s="20"/>
      <x:c r="AA4" s="20"/>
      <x:c r="AB4" s="12" t="str">
        <x:v>Pendente de precificação individual</x:v>
      </x:c>
      <x:c r="AC4" s="16" t="n">
        <x:v>6.3</x:v>
      </x:c>
      <x:c r="AD4" s="12" t="str">
        <x:v>B</x:v>
      </x:c>
      <x:c r="AE4" s="12" t="str">
        <x:v>Média</x:v>
      </x:c>
      <x:c r="AF4" s="12" t="str">
        <x:v>Anel, pingente ou joia comercial</x:v>
      </x:c>
      <x:c r="AG4" s="12" t="str">
        <x:v>Anel, pingente ou joia comercial</x:v>
      </x:c>
      <x:c r="AH4" s="12" t="str">
        <x:v>Coleção</x:v>
      </x:c>
      <x:c r="AI4" s="12" t="str"/>
      <x:c r="AJ4" s="12" t="str"/>
      <x:c r="AK4" s="12" t="str"/>
      <x:c r="AL4" s="12" t="str"/>
      <x:c r="AM4" s="12" t="str">
        <x:v>Não informado</x:v>
      </x:c>
      <x:c r="AN4" s="12" t="str"/>
      <x:c r="AO4" s="12" t="str">
        <x:v>2026-07-01</x:v>
      </x:c>
      <x:c r="AP4" s="12" t="str">
        <x:v>2026-07-19</x:v>
      </x:c>
      <x:c r="AQ4" s="12" t="str">
        <x:v>Alta</x:v>
      </x:c>
      <x:c r="AR4" s="12" t="str">
        <x:v>Inventário mestre completo atualizado em 2026-07-01</x:v>
      </x:c>
      <x:c r="AS4" s="12" t="str">
        <x:v>Confirmar identificação em laboratório; Avaliar certificação; Precificação individual pendente</x:v>
      </x:c>
      <x:c r="AT4" s="12" t="str">
        <x:v>Identificação visual; lote total comprado por R$1.100; confirmar em laboratório. Peso oficial atualizado: 2.960 ct.</x:v>
      </x:c>
    </x:row>
    <x:row r="5">
      <x:c r="A5" s="12" t="str">
        <x:v>DG-RB-004</x:v>
      </x:c>
      <x:c r="B5" s="12" t="str"/>
      <x:c r="C5" s="12" t="str">
        <x:v>Ruby/Corundum Collection</x:v>
      </x:c>
      <x:c r="D5" s="12" t="str">
        <x:v>Coríndons</x:v>
      </x:c>
      <x:c r="E5" s="12" t="str">
        <x:v>Coríndon</x:v>
      </x:c>
      <x:c r="F5" s="12" t="str">
        <x:v>Rubi brasileiro provisório</x:v>
      </x:c>
      <x:c r="G5" s="12" t="str">
        <x:v>Gema individual</x:v>
      </x:c>
      <x:c r="H5" s="18" t="n">
        <x:v>1</x:v>
      </x:c>
      <x:c r="I5" s="12" t="str">
        <x:v>Quadrada/Octogonal</x:v>
      </x:c>
      <x:c r="J5" s="12" t="str">
        <x:v>9 x 9 x 4</x:v>
      </x:c>
      <x:c r="K5" s="14" t="n">
        <x:v>4.205</x:v>
      </x:c>
      <x:c r="L5" s="12" t="str">
        <x:v>Sim</x:v>
      </x:c>
      <x:c r="M5" s="12" t="str">
        <x:v>Balança / informado</x:v>
      </x:c>
      <x:c r="N5" s="12" t="str">
        <x:v>Rosa avermelhado</x:v>
      </x:c>
      <x:c r="O5" s="12" t="str">
        <x:v>Translúcida</x:v>
      </x:c>
      <x:c r="P5" s="12" t="str">
        <x:v>Bahia</x:v>
      </x:c>
      <x:c r="Q5" s="12" t="str">
        <x:v>Não avaliado / não informado</x:v>
      </x:c>
      <x:c r="R5" s="12" t="str">
        <x:v>Não</x:v>
      </x:c>
      <x:c r="S5" s="12" t="str"/>
      <x:c r="T5" s="12" t="str"/>
      <x:c r="U5" s="20"/>
      <x:c r="V5" s="20"/>
      <x:c r="W5" s="20"/>
      <x:c r="X5" s="20"/>
      <x:c r="Y5" s="20"/>
      <x:c r="Z5" s="20"/>
      <x:c r="AA5" s="20"/>
      <x:c r="AB5" s="12" t="str">
        <x:v>Pendente de precificação individual</x:v>
      </x:c>
      <x:c r="AC5" s="16" t="n">
        <x:v>6.1</x:v>
      </x:c>
      <x:c r="AD5" s="12" t="str">
        <x:v>B-</x:v>
      </x:c>
      <x:c r="AE5" s="12" t="str">
        <x:v>Média</x:v>
      </x:c>
      <x:c r="AF5" s="12" t="str">
        <x:v>Anel, pingente ou joia comercial</x:v>
      </x:c>
      <x:c r="AG5" s="12" t="str">
        <x:v>Anel, pingente ou joia comercial</x:v>
      </x:c>
      <x:c r="AH5" s="12" t="str">
        <x:v>Coleção</x:v>
      </x:c>
      <x:c r="AI5" s="12" t="str"/>
      <x:c r="AJ5" s="12" t="str"/>
      <x:c r="AK5" s="12" t="str"/>
      <x:c r="AL5" s="12" t="str"/>
      <x:c r="AM5" s="12" t="str">
        <x:v>Não informado</x:v>
      </x:c>
      <x:c r="AN5" s="12" t="str"/>
      <x:c r="AO5" s="12" t="str">
        <x:v>2026-07-01</x:v>
      </x:c>
      <x:c r="AP5" s="12" t="str">
        <x:v>2026-07-19</x:v>
      </x:c>
      <x:c r="AQ5" s="12" t="str">
        <x:v>Alta</x:v>
      </x:c>
      <x:c r="AR5" s="12" t="str">
        <x:v>Inventário mestre completo atualizado em 2026-07-01</x:v>
      </x:c>
      <x:c r="AS5" s="12" t="str">
        <x:v>Confirmar identificação em laboratório; Avaliar certificação; Precificação individual pendente</x:v>
      </x:c>
      <x:c r="AT5" s="12" t="str">
        <x:v>Identificação visual; lote total comprado por R$1.100; confirmar em laboratório. Peso oficial atualizado: 4.205 ct.</x:v>
      </x:c>
    </x:row>
    <x:row r="6">
      <x:c r="A6" s="12" t="str">
        <x:v>DG-RB-005</x:v>
      </x:c>
      <x:c r="B6" s="12" t="str"/>
      <x:c r="C6" s="12" t="str">
        <x:v>Ruby/Corundum Collection</x:v>
      </x:c>
      <x:c r="D6" s="12" t="str">
        <x:v>Coríndons</x:v>
      </x:c>
      <x:c r="E6" s="12" t="str">
        <x:v>Coríndon</x:v>
      </x:c>
      <x:c r="F6" s="12" t="str">
        <x:v>Rubi brasileiro provisório</x:v>
      </x:c>
      <x:c r="G6" s="12" t="str">
        <x:v>Gema individual</x:v>
      </x:c>
      <x:c r="H6" s="18" t="n">
        <x:v>1</x:v>
      </x:c>
      <x:c r="I6" s="12" t="str">
        <x:v>Cushion</x:v>
      </x:c>
      <x:c r="J6" s="12" t="str">
        <x:v>10 x 10 x 4</x:v>
      </x:c>
      <x:c r="K6" s="14" t="n">
        <x:v>5.245</x:v>
      </x:c>
      <x:c r="L6" s="12" t="str">
        <x:v>Sim</x:v>
      </x:c>
      <x:c r="M6" s="12" t="str">
        <x:v>Balança / informado</x:v>
      </x:c>
      <x:c r="N6" s="12" t="str">
        <x:v>Rosa avermelhado</x:v>
      </x:c>
      <x:c r="O6" s="12" t="str">
        <x:v>Translúcida</x:v>
      </x:c>
      <x:c r="P6" s="12" t="str">
        <x:v>Bahia</x:v>
      </x:c>
      <x:c r="Q6" s="12" t="str">
        <x:v>Não avaliado / não informado</x:v>
      </x:c>
      <x:c r="R6" s="12" t="str">
        <x:v>Não</x:v>
      </x:c>
      <x:c r="S6" s="12" t="str"/>
      <x:c r="T6" s="12" t="str"/>
      <x:c r="U6" s="20"/>
      <x:c r="V6" s="20"/>
      <x:c r="W6" s="20"/>
      <x:c r="X6" s="20"/>
      <x:c r="Y6" s="20"/>
      <x:c r="Z6" s="20"/>
      <x:c r="AA6" s="20"/>
      <x:c r="AB6" s="12" t="str">
        <x:v>Pendente de precificação individual</x:v>
      </x:c>
      <x:c r="AC6" s="16" t="n">
        <x:v>6.8</x:v>
      </x:c>
      <x:c r="AD6" s="12" t="str">
        <x:v>B+</x:v>
      </x:c>
      <x:c r="AE6" s="12" t="str">
        <x:v>Média</x:v>
      </x:c>
      <x:c r="AF6" s="12" t="str">
        <x:v>Anel, pingente ou joia comercial</x:v>
      </x:c>
      <x:c r="AG6" s="12" t="str">
        <x:v>Anel, pingente ou joia comercial</x:v>
      </x:c>
      <x:c r="AH6" s="12" t="str">
        <x:v>Coleção</x:v>
      </x:c>
      <x:c r="AI6" s="12" t="str"/>
      <x:c r="AJ6" s="12" t="str"/>
      <x:c r="AK6" s="12" t="str"/>
      <x:c r="AL6" s="12" t="str"/>
      <x:c r="AM6" s="12" t="str">
        <x:v>Não informado</x:v>
      </x:c>
      <x:c r="AN6" s="12" t="str"/>
      <x:c r="AO6" s="12" t="str">
        <x:v>2026-07-01</x:v>
      </x:c>
      <x:c r="AP6" s="12" t="str">
        <x:v>2026-07-19</x:v>
      </x:c>
      <x:c r="AQ6" s="12" t="str">
        <x:v>Alta</x:v>
      </x:c>
      <x:c r="AR6" s="12" t="str">
        <x:v>Inventário mestre completo atualizado em 2026-07-01</x:v>
      </x:c>
      <x:c r="AS6" s="12" t="str">
        <x:v>Confirmar identificação em laboratório; Avaliar certificação; Precificação individual pendente</x:v>
      </x:c>
      <x:c r="AT6" s="12" t="str">
        <x:v>Identificação visual; lote total comprado por R$1.100; confirmar em laboratório. Peso oficial atualizado: 5.245 ct.</x:v>
      </x:c>
    </x:row>
    <x:row r="7">
      <x:c r="A7" s="12" t="str">
        <x:v>DG-RB-006</x:v>
      </x:c>
      <x:c r="B7" s="12" t="str"/>
      <x:c r="C7" s="12" t="str">
        <x:v>Ruby/Corundum Collection</x:v>
      </x:c>
      <x:c r="D7" s="12" t="str">
        <x:v>Coríndons</x:v>
      </x:c>
      <x:c r="E7" s="12" t="str">
        <x:v>Coríndon</x:v>
      </x:c>
      <x:c r="F7" s="12" t="str">
        <x:v>Rubi brasileiro provisório</x:v>
      </x:c>
      <x:c r="G7" s="12" t="str">
        <x:v>Gema individual</x:v>
      </x:c>
      <x:c r="H7" s="18" t="n">
        <x:v>1</x:v>
      </x:c>
      <x:c r="I7" s="12" t="str">
        <x:v>Octogonal/Retangular</x:v>
      </x:c>
      <x:c r="J7" s="12" t="str">
        <x:v>12 x 10 x 5</x:v>
      </x:c>
      <x:c r="K7" s="14" t="n">
        <x:v>7.21</x:v>
      </x:c>
      <x:c r="L7" s="12" t="str">
        <x:v>Sim</x:v>
      </x:c>
      <x:c r="M7" s="12" t="str">
        <x:v>Balança / informado</x:v>
      </x:c>
      <x:c r="N7" s="12" t="str">
        <x:v>Rosa avermelhado</x:v>
      </x:c>
      <x:c r="O7" s="12" t="str">
        <x:v>Translúcida</x:v>
      </x:c>
      <x:c r="P7" s="12" t="str">
        <x:v>Bahia</x:v>
      </x:c>
      <x:c r="Q7" s="12" t="str">
        <x:v>Não avaliado / não informado</x:v>
      </x:c>
      <x:c r="R7" s="12" t="str">
        <x:v>Não</x:v>
      </x:c>
      <x:c r="S7" s="12" t="str"/>
      <x:c r="T7" s="12" t="str"/>
      <x:c r="U7" s="20"/>
      <x:c r="V7" s="20"/>
      <x:c r="W7" s="20"/>
      <x:c r="X7" s="20"/>
      <x:c r="Y7" s="20"/>
      <x:c r="Z7" s="20"/>
      <x:c r="AA7" s="20"/>
      <x:c r="AB7" s="12" t="str">
        <x:v>Pendente de precificação individual</x:v>
      </x:c>
      <x:c r="AC7" s="16" t="n">
        <x:v>7</x:v>
      </x:c>
      <x:c r="AD7" s="12" t="str">
        <x:v>B+</x:v>
      </x:c>
      <x:c r="AE7" s="12" t="str">
        <x:v>Média</x:v>
      </x:c>
      <x:c r="AF7" s="12" t="str">
        <x:v>Anel, pingente ou joia comercial</x:v>
      </x:c>
      <x:c r="AG7" s="12" t="str">
        <x:v>Anel, pingente ou joia comercial</x:v>
      </x:c>
      <x:c r="AH7" s="12" t="str">
        <x:v>Coleção</x:v>
      </x:c>
      <x:c r="AI7" s="12" t="str"/>
      <x:c r="AJ7" s="12" t="str"/>
      <x:c r="AK7" s="12" t="str"/>
      <x:c r="AL7" s="12" t="str"/>
      <x:c r="AM7" s="12" t="str">
        <x:v>Não informado</x:v>
      </x:c>
      <x:c r="AN7" s="12" t="str"/>
      <x:c r="AO7" s="12" t="str">
        <x:v>2026-07-01</x:v>
      </x:c>
      <x:c r="AP7" s="12" t="str">
        <x:v>2026-07-19</x:v>
      </x:c>
      <x:c r="AQ7" s="12" t="str">
        <x:v>Alta</x:v>
      </x:c>
      <x:c r="AR7" s="12" t="str">
        <x:v>Inventário mestre completo atualizado em 2026-07-01</x:v>
      </x:c>
      <x:c r="AS7" s="12" t="str">
        <x:v>Confirmar identificação em laboratório; Avaliar certificação; Precificação individual pendente</x:v>
      </x:c>
      <x:c r="AT7" s="12" t="str">
        <x:v>Identificação visual; lote total comprado por R$1.100; confirmar em laboratório. Peso oficial atualizado: 7.210 ct.</x:v>
      </x:c>
    </x:row>
    <x:row r="8">
      <x:c r="A8" s="12" t="str">
        <x:v>DG-RB-007</x:v>
      </x:c>
      <x:c r="B8" s="12" t="str"/>
      <x:c r="C8" s="12" t="str">
        <x:v>Ruby/Corundum Collection</x:v>
      </x:c>
      <x:c r="D8" s="12" t="str">
        <x:v>Coríndons</x:v>
      </x:c>
      <x:c r="E8" s="12" t="str">
        <x:v>Coríndon</x:v>
      </x:c>
      <x:c r="F8" s="12" t="str">
        <x:v>Rubi brasileiro provisório</x:v>
      </x:c>
      <x:c r="G8" s="12" t="str">
        <x:v>Gema individual</x:v>
      </x:c>
      <x:c r="H8" s="18" t="n">
        <x:v>1</x:v>
      </x:c>
      <x:c r="I8" s="12" t="str">
        <x:v>Escudo irregular</x:v>
      </x:c>
      <x:c r="J8" s="12" t="str">
        <x:v>9 x 10 x 4</x:v>
      </x:c>
      <x:c r="K8" s="14" t="n">
        <x:v>3.53</x:v>
      </x:c>
      <x:c r="L8" s="12" t="str">
        <x:v>Sim</x:v>
      </x:c>
      <x:c r="M8" s="12" t="str">
        <x:v>Balança / informado</x:v>
      </x:c>
      <x:c r="N8" s="12" t="str">
        <x:v>Rosa avermelhado</x:v>
      </x:c>
      <x:c r="O8" s="12" t="str">
        <x:v>Translúcida</x:v>
      </x:c>
      <x:c r="P8" s="12" t="str">
        <x:v>Bahia</x:v>
      </x:c>
      <x:c r="Q8" s="12" t="str">
        <x:v>Não avaliado / não informado</x:v>
      </x:c>
      <x:c r="R8" s="12" t="str">
        <x:v>Não</x:v>
      </x:c>
      <x:c r="S8" s="12" t="str"/>
      <x:c r="T8" s="12" t="str"/>
      <x:c r="U8" s="20"/>
      <x:c r="V8" s="20"/>
      <x:c r="W8" s="20"/>
      <x:c r="X8" s="20"/>
      <x:c r="Y8" s="20"/>
      <x:c r="Z8" s="20"/>
      <x:c r="AA8" s="20"/>
      <x:c r="AB8" s="12" t="str">
        <x:v>Pendente de precificação individual</x:v>
      </x:c>
      <x:c r="AC8" s="16" t="n">
        <x:v>6.9</x:v>
      </x:c>
      <x:c r="AD8" s="12" t="str">
        <x:v>B+</x:v>
      </x:c>
      <x:c r="AE8" s="12" t="str">
        <x:v>Média</x:v>
      </x:c>
      <x:c r="AF8" s="12" t="str">
        <x:v>Anel, pingente ou joia comercial</x:v>
      </x:c>
      <x:c r="AG8" s="12" t="str">
        <x:v>Anel, pingente ou joia comercial</x:v>
      </x:c>
      <x:c r="AH8" s="12" t="str">
        <x:v>Coleção</x:v>
      </x:c>
      <x:c r="AI8" s="12" t="str"/>
      <x:c r="AJ8" s="12" t="str"/>
      <x:c r="AK8" s="12" t="str"/>
      <x:c r="AL8" s="12" t="str"/>
      <x:c r="AM8" s="12" t="str">
        <x:v>Não informado</x:v>
      </x:c>
      <x:c r="AN8" s="12" t="str"/>
      <x:c r="AO8" s="12" t="str">
        <x:v>2026-07-01</x:v>
      </x:c>
      <x:c r="AP8" s="12" t="str">
        <x:v>2026-07-19</x:v>
      </x:c>
      <x:c r="AQ8" s="12" t="str">
        <x:v>Alta</x:v>
      </x:c>
      <x:c r="AR8" s="12" t="str">
        <x:v>Inventário mestre completo atualizado em 2026-07-01</x:v>
      </x:c>
      <x:c r="AS8" s="12" t="str">
        <x:v>Confirmar identificação em laboratório; Avaliar certificação; Precificação individual pendente</x:v>
      </x:c>
      <x:c r="AT8" s="12" t="str">
        <x:v>Identificação visual; lote total comprado por R$1.100; confirmar em laboratório. Peso oficial atualizado: 3.530 ct.</x:v>
      </x:c>
    </x:row>
    <x:row r="9">
      <x:c r="A9" s="12" t="str">
        <x:v>DG-RB-008</x:v>
      </x:c>
      <x:c r="B9" s="12" t="str"/>
      <x:c r="C9" s="12" t="str">
        <x:v>Ruby/Corundum Collection</x:v>
      </x:c>
      <x:c r="D9" s="12" t="str">
        <x:v>Coríndons</x:v>
      </x:c>
      <x:c r="E9" s="12" t="str">
        <x:v>Coríndon</x:v>
      </x:c>
      <x:c r="F9" s="12" t="str">
        <x:v>Rubi brasileiro provisório</x:v>
      </x:c>
      <x:c r="G9" s="12" t="str">
        <x:v>Gema individual</x:v>
      </x:c>
      <x:c r="H9" s="18" t="n">
        <x:v>1</x:v>
      </x:c>
      <x:c r="I9" s="12" t="str">
        <x:v>Navete/Marquise</x:v>
      </x:c>
      <x:c r="J9" s="12" t="str">
        <x:v>15 x 9 x 3</x:v>
      </x:c>
      <x:c r="K9" s="14" t="n">
        <x:v>3.95</x:v>
      </x:c>
      <x:c r="L9" s="12" t="str">
        <x:v>Sim</x:v>
      </x:c>
      <x:c r="M9" s="12" t="str">
        <x:v>Balança / informado</x:v>
      </x:c>
      <x:c r="N9" s="12" t="str">
        <x:v>Rosa avermelhado</x:v>
      </x:c>
      <x:c r="O9" s="12" t="str">
        <x:v>Translúcida</x:v>
      </x:c>
      <x:c r="P9" s="12" t="str">
        <x:v>Bahia</x:v>
      </x:c>
      <x:c r="Q9" s="12" t="str">
        <x:v>Não avaliado / não informado</x:v>
      </x:c>
      <x:c r="R9" s="12" t="str">
        <x:v>Não</x:v>
      </x:c>
      <x:c r="S9" s="12" t="str"/>
      <x:c r="T9" s="12" t="str"/>
      <x:c r="U9" s="20"/>
      <x:c r="V9" s="20"/>
      <x:c r="W9" s="20"/>
      <x:c r="X9" s="20"/>
      <x:c r="Y9" s="20"/>
      <x:c r="Z9" s="20"/>
      <x:c r="AA9" s="20"/>
      <x:c r="AB9" s="12" t="str">
        <x:v>Pendente de precificação individual</x:v>
      </x:c>
      <x:c r="AC9" s="16" t="n">
        <x:v>6.9</x:v>
      </x:c>
      <x:c r="AD9" s="12" t="str">
        <x:v>B</x:v>
      </x:c>
      <x:c r="AE9" s="12" t="str">
        <x:v>Média</x:v>
      </x:c>
      <x:c r="AF9" s="12" t="str">
        <x:v>Anel, pingente ou joia comercial</x:v>
      </x:c>
      <x:c r="AG9" s="12" t="str">
        <x:v>Anel, pingente ou joia comercial</x:v>
      </x:c>
      <x:c r="AH9" s="12" t="str">
        <x:v>Coleção</x:v>
      </x:c>
      <x:c r="AI9" s="12" t="str"/>
      <x:c r="AJ9" s="12" t="str"/>
      <x:c r="AK9" s="12" t="str"/>
      <x:c r="AL9" s="12" t="str"/>
      <x:c r="AM9" s="12" t="str">
        <x:v>Não informado</x:v>
      </x:c>
      <x:c r="AN9" s="12" t="str"/>
      <x:c r="AO9" s="12" t="str">
        <x:v>2026-07-01</x:v>
      </x:c>
      <x:c r="AP9" s="12" t="str">
        <x:v>2026-07-19</x:v>
      </x:c>
      <x:c r="AQ9" s="12" t="str">
        <x:v>Alta</x:v>
      </x:c>
      <x:c r="AR9" s="12" t="str">
        <x:v>Inventário mestre completo atualizado em 2026-07-01</x:v>
      </x:c>
      <x:c r="AS9" s="12" t="str">
        <x:v>Confirmar identificação em laboratório; Avaliar certificação; Precificação individual pendente</x:v>
      </x:c>
      <x:c r="AT9" s="12" t="str">
        <x:v>Identificação visual; lote total comprado por R$1.100; confirmar em laboratório. Peso oficial atualizado: 3.950 ct.</x:v>
      </x:c>
    </x:row>
    <x:row r="10">
      <x:c r="A10" s="12" t="str">
        <x:v>DG-RB-009</x:v>
      </x:c>
      <x:c r="B10" s="12" t="str"/>
      <x:c r="C10" s="12" t="str">
        <x:v>Ruby/Corundum Collection</x:v>
      </x:c>
      <x:c r="D10" s="12" t="str">
        <x:v>Coríndons</x:v>
      </x:c>
      <x:c r="E10" s="12" t="str">
        <x:v>Coríndon</x:v>
      </x:c>
      <x:c r="F10" s="12" t="str">
        <x:v>Rubi brasileiro provisório</x:v>
      </x:c>
      <x:c r="G10" s="12" t="str">
        <x:v>Lote</x:v>
      </x:c>
      <x:c r="H10" s="18" t="n">
        <x:v>10</x:v>
      </x:c>
      <x:c r="I10" s="12" t="str">
        <x:v>Gotas/Navetes</x:v>
      </x:c>
      <x:c r="J10" s="12" t="str">
        <x:v>6 maiores 10–12x4–5x2–3; 4 menores 7–8x3–4x2–3</x:v>
      </x:c>
      <x:c r="K10" s="14" t="n">
        <x:v>25.84</x:v>
      </x:c>
      <x:c r="L10" s="12" t="str">
        <x:v>Sim</x:v>
      </x:c>
      <x:c r="M10" s="12" t="str">
        <x:v>Balança / informado</x:v>
      </x:c>
      <x:c r="N10" s="12" t="str">
        <x:v>Rosa avermelhado uniforme</x:v>
      </x:c>
      <x:c r="O10" s="12" t="str">
        <x:v>Translúcida</x:v>
      </x:c>
      <x:c r="P10" s="12" t="str">
        <x:v>Bahia</x:v>
      </x:c>
      <x:c r="Q10" s="12" t="str">
        <x:v>Não avaliado / não informado</x:v>
      </x:c>
      <x:c r="R10" s="12" t="str">
        <x:v>Não</x:v>
      </x:c>
      <x:c r="S10" s="12" t="str"/>
      <x:c r="T10" s="12" t="str"/>
      <x:c r="U10" s="20"/>
      <x:c r="V10" s="20" t="n">
        <x:v>1500</x:v>
      </x:c>
      <x:c r="W10" s="20" t="n">
        <x:v>2800</x:v>
      </x:c>
      <x:c r="X10" s="20" t="n">
        <x:v>3000</x:v>
      </x:c>
      <x:c r="Y10" s="20" t="n">
        <x:v>5500</x:v>
      </x:c>
      <x:c r="Z10" s="20" t="n">
        <x:v>8000</x:v>
      </x:c>
      <x:c r="AA10" s="20" t="n">
        <x:v>18000</x:v>
      </x:c>
      <x:c r="AB10" s="12" t="str">
        <x:v>Registrado no histórico</x:v>
      </x:c>
      <x:c r="AC10" s="16" t="n">
        <x:v>7.4</x:v>
      </x:c>
      <x:c r="AD10" s="12" t="str">
        <x:v>B</x:v>
      </x:c>
      <x:c r="AE10" s="12" t="str">
        <x:v>Média</x:v>
      </x:c>
      <x:c r="AF10" s="12" t="str">
        <x:v>Brincos, pingentes, riviera, colares</x:v>
      </x:c>
      <x:c r="AG10" s="12" t="str">
        <x:v>Brincos, pingentes, riviera, colares</x:v>
      </x:c>
      <x:c r="AH10" s="12" t="str">
        <x:v>Coleção</x:v>
      </x:c>
      <x:c r="AI10" s="12" t="str"/>
      <x:c r="AJ10" s="12" t="str"/>
      <x:c r="AK10" s="12" t="str"/>
      <x:c r="AL10" s="12" t="str"/>
      <x:c r="AM10" s="12" t="str">
        <x:v>Não informado</x:v>
      </x:c>
      <x:c r="AN10" s="12" t="str"/>
      <x:c r="AO10" s="12" t="str">
        <x:v>2026-07-01</x:v>
      </x:c>
      <x:c r="AP10" s="12" t="str">
        <x:v>2026-07-19</x:v>
      </x:c>
      <x:c r="AQ10" s="12" t="str">
        <x:v>Alta</x:v>
      </x:c>
      <x:c r="AR10" s="12" t="str">
        <x:v>Inventário mestre completo atualizado em 2026-07-01</x:v>
      </x:c>
      <x:c r="AS10" s="12" t="str">
        <x:v>Confirmar identificação em laboratório; Avaliar certificação</x:v>
      </x:c>
      <x:c r="AT10" s="12" t="str">
        <x:v>Lote calibrado; parte do lote de R$1.100. Peso oficial atualizado: 25,840 ct total do lote com 10 pedras.</x:v>
      </x:c>
    </x:row>
    <x:row r="11">
      <x:c r="A11" s="12" t="str">
        <x:v>DG-RB-010</x:v>
      </x:c>
      <x:c r="B11" s="12" t="str"/>
      <x:c r="C11" s="12" t="str">
        <x:v>Ruby/Corundum Collection</x:v>
      </x:c>
      <x:c r="D11" s="12" t="str">
        <x:v>Coríndons</x:v>
      </x:c>
      <x:c r="E11" s="12" t="str">
        <x:v>Coríndon</x:v>
      </x:c>
      <x:c r="F11" s="12" t="str">
        <x:v>Rubi brasileiro provisório</x:v>
      </x:c>
      <x:c r="G11" s="12" t="str">
        <x:v>Lote</x:v>
      </x:c>
      <x:c r="H11" s="18" t="n">
        <x:v>7</x:v>
      </x:c>
      <x:c r="I11" s="12" t="str">
        <x:v>Quadrados, gotas e oval</x:v>
      </x:c>
      <x:c r="J11" s="12" t="str">
        <x:v>Maior 10x10x4; menores 5x5x3; inferiores 7–12x4–5x3–4</x:v>
      </x:c>
      <x:c r="K11" s="14" t="n">
        <x:v>19</x:v>
      </x:c>
      <x:c r="L11" s="12" t="str">
        <x:v>Sim</x:v>
      </x:c>
      <x:c r="M11" s="12" t="str">
        <x:v>Balança / informado</x:v>
      </x:c>
      <x:c r="N11" s="12" t="str">
        <x:v>Rosa médio / avermelhado</x:v>
      </x:c>
      <x:c r="O11" s="12" t="str">
        <x:v>Translúcida</x:v>
      </x:c>
      <x:c r="P11" s="12" t="str">
        <x:v>Bahia</x:v>
      </x:c>
      <x:c r="Q11" s="12" t="str">
        <x:v>Não avaliado / não informado</x:v>
      </x:c>
      <x:c r="R11" s="12" t="str">
        <x:v>Não</x:v>
      </x:c>
      <x:c r="S11" s="12" t="str"/>
      <x:c r="T11" s="12" t="str"/>
      <x:c r="U11" s="20"/>
      <x:c r="V11" s="20" t="n">
        <x:v>2000</x:v>
      </x:c>
      <x:c r="W11" s="20" t="n">
        <x:v>3800</x:v>
      </x:c>
      <x:c r="X11" s="20" t="n">
        <x:v>4000</x:v>
      </x:c>
      <x:c r="Y11" s="20" t="n">
        <x:v>7000</x:v>
      </x:c>
      <x:c r="Z11" s="20" t="n">
        <x:v>10000</x:v>
      </x:c>
      <x:c r="AA11" s="20" t="n">
        <x:v>22000</x:v>
      </x:c>
      <x:c r="AB11" s="12" t="str">
        <x:v>Registrado no histórico</x:v>
      </x:c>
      <x:c r="AC11" s="16" t="n">
        <x:v>7.8</x:v>
      </x:c>
      <x:c r="AD11" s="12" t="str">
        <x:v>B+</x:v>
      </x:c>
      <x:c r="AE11" s="12" t="str">
        <x:v>Média</x:v>
      </x:c>
      <x:c r="AF11" s="12" t="str">
        <x:v>Anel com quadrada maior, brincos com gotas</x:v>
      </x:c>
      <x:c r="AG11" s="12" t="str">
        <x:v>Anel com quadrada maior, brincos com gotas</x:v>
      </x:c>
      <x:c r="AH11" s="12" t="str">
        <x:v>Coleção</x:v>
      </x:c>
      <x:c r="AI11" s="12" t="str"/>
      <x:c r="AJ11" s="12" t="str"/>
      <x:c r="AK11" s="12" t="str"/>
      <x:c r="AL11" s="12" t="str"/>
      <x:c r="AM11" s="12" t="str">
        <x:v>Não informado</x:v>
      </x:c>
      <x:c r="AN11" s="12" t="str"/>
      <x:c r="AO11" s="12" t="str">
        <x:v>2026-07-01</x:v>
      </x:c>
      <x:c r="AP11" s="12" t="str">
        <x:v>2026-07-19</x:v>
      </x:c>
      <x:c r="AQ11" s="12" t="str">
        <x:v>Alta</x:v>
      </x:c>
      <x:c r="AR11" s="12" t="str">
        <x:v>Inventário mestre completo atualizado em 2026-07-01</x:v>
      </x:c>
      <x:c r="AS11" s="12" t="str">
        <x:v>Confirmar identificação em laboratório; Avaliar certificação</x:v>
      </x:c>
      <x:c r="AT11" s="12" t="str">
        <x:v>Lote diverso; parte do lote de R$1.100. Peso oficial atualizado: 19,000 ct total do lote com 7 pedras.</x:v>
      </x:c>
    </x:row>
    <x:row r="12">
      <x:c r="A12" s="12" t="str">
        <x:v>DG-RB-011</x:v>
      </x:c>
      <x:c r="B12" s="12" t="str"/>
      <x:c r="C12" s="12" t="str">
        <x:v>Ruby/Corundum Collection</x:v>
      </x:c>
      <x:c r="D12" s="12" t="str">
        <x:v>Coríndons</x:v>
      </x:c>
      <x:c r="E12" s="12" t="str">
        <x:v>Coríndon</x:v>
      </x:c>
      <x:c r="F12" s="12" t="str">
        <x:v>Rubi brasileiro provisório</x:v>
      </x:c>
      <x:c r="G12" s="12" t="str">
        <x:v>Lote</x:v>
      </x:c>
      <x:c r="H12" s="18" t="n">
        <x:v>3</x:v>
      </x:c>
      <x:c r="I12" s="12" t="str">
        <x:v>Navete/Marquise</x:v>
      </x:c>
      <x:c r="J12" s="12" t="str">
        <x:v>13–15 x 4 x 2–3</x:v>
      </x:c>
      <x:c r="K12" s="14" t="n">
        <x:v>6.945</x:v>
      </x:c>
      <x:c r="L12" s="12" t="str">
        <x:v>Sim</x:v>
      </x:c>
      <x:c r="M12" s="12" t="str">
        <x:v>Balança / informado</x:v>
      </x:c>
      <x:c r="N12" s="12" t="str">
        <x:v>Rosa avermelhado médio</x:v>
      </x:c>
      <x:c r="O12" s="12" t="str">
        <x:v>Translúcida</x:v>
      </x:c>
      <x:c r="P12" s="12" t="str">
        <x:v>Bahia</x:v>
      </x:c>
      <x:c r="Q12" s="12" t="str">
        <x:v>Não avaliado / não informado</x:v>
      </x:c>
      <x:c r="R12" s="12" t="str">
        <x:v>Não</x:v>
      </x:c>
      <x:c r="S12" s="12" t="str"/>
      <x:c r="T12" s="12" t="str"/>
      <x:c r="U12" s="20"/>
      <x:c r="V12" s="20" t="n">
        <x:v>500</x:v>
      </x:c>
      <x:c r="W12" s="20" t="n">
        <x:v>900</x:v>
      </x:c>
      <x:c r="X12" s="20" t="n">
        <x:v>1000</x:v>
      </x:c>
      <x:c r="Y12" s="20" t="n">
        <x:v>1800</x:v>
      </x:c>
      <x:c r="Z12" s="20" t="n">
        <x:v>3000</x:v>
      </x:c>
      <x:c r="AA12" s="20" t="n">
        <x:v>7000</x:v>
      </x:c>
      <x:c r="AB12" s="12" t="str">
        <x:v>Registrado no histórico</x:v>
      </x:c>
      <x:c r="AC12" s="16" t="n">
        <x:v>7</x:v>
      </x:c>
      <x:c r="AD12" s="12" t="str">
        <x:v>B</x:v>
      </x:c>
      <x:c r="AE12" s="12" t="str">
        <x:v>Baixa/Média</x:v>
      </x:c>
      <x:c r="AF12" s="12" t="str">
        <x:v>Brincos longos, pingentes lineares</x:v>
      </x:c>
      <x:c r="AG12" s="12" t="str">
        <x:v>Brincos longos, pingentes lineares</x:v>
      </x:c>
      <x:c r="AH12" s="12" t="str">
        <x:v>Coleção</x:v>
      </x:c>
      <x:c r="AI12" s="12" t="str"/>
      <x:c r="AJ12" s="12" t="str"/>
      <x:c r="AK12" s="12" t="str"/>
      <x:c r="AL12" s="12" t="str"/>
      <x:c r="AM12" s="12" t="str">
        <x:v>Não informado</x:v>
      </x:c>
      <x:c r="AN12" s="12" t="str"/>
      <x:c r="AO12" s="12" t="str">
        <x:v>2026-07-01</x:v>
      </x:c>
      <x:c r="AP12" s="12" t="str">
        <x:v>2026-07-19</x:v>
      </x:c>
      <x:c r="AQ12" s="12" t="str">
        <x:v>Alta</x:v>
      </x:c>
      <x:c r="AR12" s="12" t="str">
        <x:v>Inventário mestre completo atualizado em 2026-07-01</x:v>
      </x:c>
      <x:c r="AS12" s="12" t="str">
        <x:v>Confirmar identificação em laboratório</x:v>
      </x:c>
      <x:c r="AT12" s="12" t="str">
        <x:v>Formato navete confirmado; parte do lote de R$1.100. Peso oficial atualizado: 6,945 ct total do lote com 3 pedras.</x:v>
      </x:c>
    </x:row>
    <x:row r="13">
      <x:c r="A13" s="12" t="str">
        <x:v>DG-RB-012</x:v>
      </x:c>
      <x:c r="B13" s="12" t="str"/>
      <x:c r="C13" s="12" t="str">
        <x:v>Ruby/Corundum Collection</x:v>
      </x:c>
      <x:c r="D13" s="12" t="str">
        <x:v>Coríndons</x:v>
      </x:c>
      <x:c r="E13" s="12" t="str">
        <x:v>Coríndon</x:v>
      </x:c>
      <x:c r="F13" s="12" t="str">
        <x:v>Rubi brasileiro provisório</x:v>
      </x:c>
      <x:c r="G13" s="12" t="str">
        <x:v>Gema individual</x:v>
      </x:c>
      <x:c r="H13" s="18" t="n">
        <x:v>1</x:v>
      </x:c>
      <x:c r="I13" s="12" t="str">
        <x:v>Gota</x:v>
      </x:c>
      <x:c r="J13" s="12" t="str">
        <x:v>8 x 5 x 2</x:v>
      </x:c>
      <x:c r="K13" s="14" t="n">
        <x:v>1.59</x:v>
      </x:c>
      <x:c r="L13" s="12" t="str">
        <x:v>Sim</x:v>
      </x:c>
      <x:c r="M13" s="12" t="str">
        <x:v>Balança / informado</x:v>
      </x:c>
      <x:c r="N13" s="12" t="str">
        <x:v>Rosa avermelhado</x:v>
      </x:c>
      <x:c r="O13" s="12" t="str">
        <x:v>Translúcida</x:v>
      </x:c>
      <x:c r="P13" s="12" t="str">
        <x:v>Bahia</x:v>
      </x:c>
      <x:c r="Q13" s="12" t="str">
        <x:v>Não avaliado / não informado</x:v>
      </x:c>
      <x:c r="R13" s="12" t="str">
        <x:v>Não</x:v>
      </x:c>
      <x:c r="S13" s="12" t="str"/>
      <x:c r="T13" s="12" t="str"/>
      <x:c r="U13" s="20"/>
      <x:c r="V13" s="20"/>
      <x:c r="W13" s="20"/>
      <x:c r="X13" s="20"/>
      <x:c r="Y13" s="20"/>
      <x:c r="Z13" s="20"/>
      <x:c r="AA13" s="20"/>
      <x:c r="AB13" s="12" t="str">
        <x:v>Pendente de precificação individual</x:v>
      </x:c>
      <x:c r="AC13" s="16" t="n">
        <x:v>7.9</x:v>
      </x:c>
      <x:c r="AD13" s="12" t="str">
        <x:v>B+</x:v>
      </x:c>
      <x:c r="AE13" s="12" t="str">
        <x:v>Média</x:v>
      </x:c>
      <x:c r="AF13" s="12" t="str">
        <x:v>Anel, pingente ou joia comercial</x:v>
      </x:c>
      <x:c r="AG13" s="12" t="str">
        <x:v>Anel, pingente ou joia comercial</x:v>
      </x:c>
      <x:c r="AH13" s="12" t="str">
        <x:v>Coleção</x:v>
      </x:c>
      <x:c r="AI13" s="12" t="str"/>
      <x:c r="AJ13" s="12" t="str"/>
      <x:c r="AK13" s="12" t="str"/>
      <x:c r="AL13" s="12" t="str"/>
      <x:c r="AM13" s="12" t="str">
        <x:v>Não informado</x:v>
      </x:c>
      <x:c r="AN13" s="12" t="str"/>
      <x:c r="AO13" s="12" t="str">
        <x:v>2026-07-01</x:v>
      </x:c>
      <x:c r="AP13" s="12" t="str">
        <x:v>2026-07-19</x:v>
      </x:c>
      <x:c r="AQ13" s="12" t="str">
        <x:v>Alta</x:v>
      </x:c>
      <x:c r="AR13" s="12" t="str">
        <x:v>Inventário mestre completo atualizado em 2026-07-01</x:v>
      </x:c>
      <x:c r="AS13" s="12" t="str">
        <x:v>Confirmar identificação em laboratório; Avaliar certificação; Precificação individual pendente</x:v>
      </x:c>
      <x:c r="AT13" s="12" t="str">
        <x:v>Identificação visual; lote total comprado por R$1.100; confirmar em laboratório. Peso oficial atualizado: 1.590 ct.</x:v>
      </x:c>
    </x:row>
  </x:sheetData>
  <x:conditionalFormatting sqref="K2:K13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{BA75176E-5621-7502-60F2-FEA9708F2AB3}</x14:id>
        </x:ext>
      </x:extLst>
    </x:cfRule>
  </x:conditionalFormatting>
  <x:conditionalFormatting sqref="AC2:AC13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13">
    <x:cfRule type="expression" dxfId="8" priority="3">
      <x:formula>AB2="Pendente de precificação individual"</x:formula>
    </x:cfRule>
  </x:conditionalFormatting>
  <x:conditionalFormatting sqref="AS2:AS13">
    <x:cfRule type="expression" dxfId="9" priority="4">
      <x:formula>LEN(AS2)&gt;0</x:formula>
    </x:cfRule>
  </x:conditionalFormatting>
  <x:dataValidations count="2">
    <x:dataValidation type="list" sqref="AH2:AH13">
      <x:formula1>"Coleção,Estoque,Estoque para produção,Em identificação,Em certificação,Em joia,Vendido"</x:formula1>
    </x:dataValidation>
    <x:dataValidation type="list" sqref="AE2:AE13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1f0e489cc641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A75176E-5621-7502-60F2-FEA9708F2AB3}">
            <x14:dataBar gradient="1">
              <x14:cfvo type="min"/>
              <x14:cfvo type="max"/>
              <x14:fillColor rgb="FF4C8A72"/>
            </x14:dataBar>
          </x14:cfRule>
          <xm:sqref>K2:K13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DG-AP-001</x:v>
      </x:c>
      <x:c r="B2" s="12" t="str"/>
      <x:c r="C2" s="12" t="str">
        <x:v>Apatite Collection</x:v>
      </x:c>
      <x:c r="D2" s="12" t="str">
        <x:v>Apatitas</x:v>
      </x:c>
      <x:c r="E2" s="12" t="str">
        <x:v>Apatita</x:v>
      </x:c>
      <x:c r="F2" s="12" t="str">
        <x:v>Azul Neon</x:v>
      </x:c>
      <x:c r="G2" s="12" t="str">
        <x:v>Lote</x:v>
      </x:c>
      <x:c r="H2" s="18" t="n">
        <x:v>5</x:v>
      </x:c>
      <x:c r="I2" s="12" t="str">
        <x:v>Oval</x:v>
      </x:c>
      <x:c r="J2" s="12" t="str">
        <x:v>6 x 4 cada</x:v>
      </x:c>
      <x:c r="K2" s="14" t="n">
        <x:v>2.6</x:v>
      </x:c>
      <x:c r="L2" s="12" t="str">
        <x:v>Sim</x:v>
      </x:c>
      <x:c r="M2" s="12" t="str">
        <x:v>Fornecedor</x:v>
      </x:c>
      <x:c r="N2" s="12" t="str">
        <x:v>Azul Neon</x:v>
      </x:c>
      <x:c r="O2" s="12" t="str">
        <x:v>Transparente</x:v>
      </x:c>
      <x:c r="P2" s="12" t="str"/>
      <x:c r="Q2" s="12" t="str">
        <x:v>Não avaliado / não informado</x:v>
      </x:c>
      <x:c r="R2" s="12" t="str">
        <x:v>Não</x:v>
      </x:c>
      <x:c r="S2" s="12" t="str"/>
      <x:c r="T2" s="12" t="str"/>
      <x:c r="U2" s="20" t="n">
        <x:v>525</x:v>
      </x:c>
      <x:c r="V2" s="20" t="n">
        <x:v>1250</x:v>
      </x:c>
      <x:c r="W2" s="20" t="n">
        <x:v>2250</x:v>
      </x:c>
      <x:c r="X2" s="20" t="n">
        <x:v>1250</x:v>
      </x:c>
      <x:c r="Y2" s="20" t="n">
        <x:v>2250</x:v>
      </x:c>
      <x:c r="Z2" s="20" t="n">
        <x:v>5000</x:v>
      </x:c>
      <x:c r="AA2" s="20" t="n">
        <x:v>12000</x:v>
      </x:c>
      <x:c r="AB2" s="12" t="str">
        <x:v>Registrado no histórico</x:v>
      </x:c>
      <x:c r="AC2" s="16" t="n">
        <x:v>8.2</x:v>
      </x:c>
      <x:c r="AD2" s="12" t="str">
        <x:v>B+</x:v>
      </x:c>
      <x:c r="AE2" s="12" t="str">
        <x:v>Baixa</x:v>
      </x:c>
      <x:c r="AF2" s="12" t="str">
        <x:v>Brincos, anel halo, conjunto Ocean</x:v>
      </x:c>
      <x:c r="AG2" s="12" t="str">
        <x:v>Brincos, anel halo, conjunto Ocean</x:v>
      </x:c>
      <x:c r="AH2" s="12" t="str">
        <x:v>Coleção</x:v>
      </x:c>
      <x:c r="AI2" s="12" t="str"/>
      <x:c r="AJ2" s="12" t="str"/>
      <x:c r="AK2" s="12" t="str"/>
      <x:c r="AL2" s="12" t="str"/>
      <x:c r="AM2" s="12" t="str">
        <x:v>Não informado</x:v>
      </x:c>
      <x:c r="AN2" s="12" t="str"/>
      <x:c r="AO2" s="12" t="str">
        <x:v>2026-07-01</x:v>
      </x:c>
      <x:c r="AP2" s="12" t="str">
        <x:v>2026-07-19</x:v>
      </x:c>
      <x:c r="AQ2" s="12" t="str">
        <x:v>Alta</x:v>
      </x:c>
      <x:c r="AR2" s="12" t="str">
        <x:v>Inventário mestre completo atualizado em 2026-07-01</x:v>
      </x:c>
      <x:c r="AS2" s="12" t="str"/>
      <x:c r="AT2" s="12" t="str">
        <x:v>5 unidades; 0,52 ct por unidade; R$105/unidade.</x:v>
      </x:c>
    </x:row>
    <x:row r="3">
      <x:c r="A3" s="12" t="str">
        <x:v>DG-RD-001</x:v>
      </x:c>
      <x:c r="B3" s="12" t="str"/>
      <x:c r="C3" s="12" t="str">
        <x:v>Royal Collection</x:v>
      </x:c>
      <x:c r="D3" s="12" t="str">
        <x:v>Rodolitas</x:v>
      </x:c>
      <x:c r="E3" s="12" t="str">
        <x:v>Granada</x:v>
      </x:c>
      <x:c r="F3" s="12" t="str">
        <x:v>Rodolita provisória</x:v>
      </x:c>
      <x:c r="G3" s="12" t="str">
        <x:v>Gema individual</x:v>
      </x:c>
      <x:c r="H3" s="18" t="n">
        <x:v>1</x:v>
      </x:c>
      <x:c r="I3" s="12" t="str">
        <x:v>Gota</x:v>
      </x:c>
      <x:c r="J3" s="12" t="str">
        <x:v>10 x 5</x:v>
      </x:c>
      <x:c r="K3" s="14" t="n">
        <x:v>2.1</x:v>
      </x:c>
      <x:c r="L3" s="12" t="str">
        <x:v>Não</x:v>
      </x:c>
      <x:c r="M3" s="12" t="str">
        <x:v>Estimativa por medidas</x:v>
      </x:c>
      <x:c r="N3" s="12" t="str">
        <x:v>Vinho / framboesa / magenta</x:v>
      </x:c>
      <x:c r="O3" s="12" t="str">
        <x:v>Transparente a translúcida</x:v>
      </x:c>
      <x:c r="P3" s="12" t="str">
        <x:v>Bahia</x:v>
      </x:c>
      <x:c r="Q3" s="12" t="str">
        <x:v>Não avaliado / não informado</x:v>
      </x:c>
      <x:c r="R3" s="12" t="str">
        <x:v>Não</x:v>
      </x:c>
      <x:c r="S3" s="12" t="str"/>
      <x:c r="T3" s="12" t="str"/>
      <x:c r="U3" s="20"/>
      <x:c r="V3" s="20" t="n">
        <x:v>357</x:v>
      </x:c>
      <x:c r="W3" s="20" t="n">
        <x:v>650</x:v>
      </x:c>
      <x:c r="X3" s="20" t="n">
        <x:v>650</x:v>
      </x:c>
      <x:c r="Y3" s="20" t="n">
        <x:v>650</x:v>
      </x:c>
      <x:c r="Z3" s="20" t="n">
        <x:v>1950</x:v>
      </x:c>
      <x:c r="AA3" s="20" t="n">
        <x:v>3900</x:v>
      </x:c>
      <x:c r="AB3" s="12" t="str">
        <x:v>Registrado no histórico</x:v>
      </x:c>
      <x:c r="AC3" s="16" t="n">
        <x:v>7.5</x:v>
      </x:c>
      <x:c r="AD3" s="12" t="str">
        <x:v>AA+</x:v>
      </x:c>
      <x:c r="AE3" s="12" t="str">
        <x:v>Baixa</x:v>
      </x:c>
      <x:c r="AF3" s="12" t="str">
        <x:v>Joias femininas, pingentes, brincos</x:v>
      </x:c>
      <x:c r="AG3" s="12" t="str">
        <x:v>Joias femininas, pingentes, brincos</x:v>
      </x:c>
      <x:c r="AH3" s="12" t="str">
        <x:v>Coleção</x:v>
      </x:c>
      <x:c r="AI3" s="12" t="str"/>
      <x:c r="AJ3" s="12" t="str"/>
      <x:c r="AK3" s="12" t="str"/>
      <x:c r="AL3" s="12" t="str"/>
      <x:c r="AM3" s="12" t="str">
        <x:v>Não informado</x:v>
      </x:c>
      <x:c r="AN3" s="12" t="str"/>
      <x:c r="AO3" s="12" t="str">
        <x:v>2026-07-01</x:v>
      </x:c>
      <x:c r="AP3" s="12" t="str">
        <x:v>2026-07-19</x:v>
      </x:c>
      <x:c r="AQ3" s="12" t="str">
        <x:v>Média</x:v>
      </x:c>
      <x:c r="AR3" s="12" t="str">
        <x:v>Inventário mestre completo atualizado em 2026-07-01</x:v>
      </x:c>
      <x:c r="AS3" s="12" t="str">
        <x:v>Confirmar peso</x:v>
      </x:c>
      <x:c r="AT3" s="12" t="str">
        <x:v>Identificação visual como rodolita; pendente de confirmação.</x:v>
      </x:c>
    </x:row>
    <x:row r="4">
      <x:c r="A4" s="12" t="str">
        <x:v>DG-RD-002</x:v>
      </x:c>
      <x:c r="B4" s="12" t="str"/>
      <x:c r="C4" s="12" t="str">
        <x:v>Royal Collection</x:v>
      </x:c>
      <x:c r="D4" s="12" t="str">
        <x:v>Rodolitas</x:v>
      </x:c>
      <x:c r="E4" s="12" t="str">
        <x:v>Granada</x:v>
      </x:c>
      <x:c r="F4" s="12" t="str">
        <x:v>Rodolita provisória</x:v>
      </x:c>
      <x:c r="G4" s="12" t="str">
        <x:v>Gema individual</x:v>
      </x:c>
      <x:c r="H4" s="18" t="n">
        <x:v>1</x:v>
      </x:c>
      <x:c r="I4" s="12" t="str">
        <x:v>Oval</x:v>
      </x:c>
      <x:c r="J4" s="12" t="str">
        <x:v>7 x 5</x:v>
      </x:c>
      <x:c r="K4" s="14" t="n">
        <x:v>1.2</x:v>
      </x:c>
      <x:c r="L4" s="12" t="str">
        <x:v>Não</x:v>
      </x:c>
      <x:c r="M4" s="12" t="str">
        <x:v>Estimativa por medidas</x:v>
      </x:c>
      <x:c r="N4" s="12" t="str">
        <x:v>Vinho / framboesa / magenta</x:v>
      </x:c>
      <x:c r="O4" s="12" t="str">
        <x:v>Transparente a translúcida</x:v>
      </x:c>
      <x:c r="P4" s="12" t="str">
        <x:v>Bahia</x:v>
      </x:c>
      <x:c r="Q4" s="12" t="str">
        <x:v>Não avaliado / não informado</x:v>
      </x:c>
      <x:c r="R4" s="12" t="str">
        <x:v>Não</x:v>
      </x:c>
      <x:c r="S4" s="12" t="str"/>
      <x:c r="T4" s="12" t="str"/>
      <x:c r="U4" s="20"/>
      <x:c r="V4" s="20" t="n">
        <x:v>192</x:v>
      </x:c>
      <x:c r="W4" s="20" t="n">
        <x:v>350</x:v>
      </x:c>
      <x:c r="X4" s="20" t="n">
        <x:v>350</x:v>
      </x:c>
      <x:c r="Y4" s="20" t="n">
        <x:v>350</x:v>
      </x:c>
      <x:c r="Z4" s="20" t="n">
        <x:v>1050</x:v>
      </x:c>
      <x:c r="AA4" s="20" t="n">
        <x:v>2100</x:v>
      </x:c>
      <x:c r="AB4" s="12" t="str">
        <x:v>Registrado no histórico</x:v>
      </x:c>
      <x:c r="AC4" s="16" t="n">
        <x:v>7.5</x:v>
      </x:c>
      <x:c r="AD4" s="12" t="str">
        <x:v>AA+</x:v>
      </x:c>
      <x:c r="AE4" s="12" t="str">
        <x:v>Baixa</x:v>
      </x:c>
      <x:c r="AF4" s="12" t="str">
        <x:v>Joias femininas, pingentes, brincos</x:v>
      </x:c>
      <x:c r="AG4" s="12" t="str">
        <x:v>Joias femininas, pingentes, brincos</x:v>
      </x:c>
      <x:c r="AH4" s="12" t="str">
        <x:v>Coleção</x:v>
      </x:c>
      <x:c r="AI4" s="12" t="str"/>
      <x:c r="AJ4" s="12" t="str"/>
      <x:c r="AK4" s="12" t="str"/>
      <x:c r="AL4" s="12" t="str"/>
      <x:c r="AM4" s="12" t="str">
        <x:v>Não informado</x:v>
      </x:c>
      <x:c r="AN4" s="12" t="str"/>
      <x:c r="AO4" s="12" t="str">
        <x:v>2026-07-01</x:v>
      </x:c>
      <x:c r="AP4" s="12" t="str">
        <x:v>2026-07-19</x:v>
      </x:c>
      <x:c r="AQ4" s="12" t="str">
        <x:v>Média</x:v>
      </x:c>
      <x:c r="AR4" s="12" t="str">
        <x:v>Inventário mestre completo atualizado em 2026-07-01</x:v>
      </x:c>
      <x:c r="AS4" s="12" t="str">
        <x:v>Confirmar peso</x:v>
      </x:c>
      <x:c r="AT4" s="12" t="str">
        <x:v>Identificação visual como rodolita; pendente de confirmação.</x:v>
      </x:c>
    </x:row>
    <x:row r="5">
      <x:c r="A5" s="12" t="str">
        <x:v>DG-RD-003</x:v>
      </x:c>
      <x:c r="B5" s="12" t="str"/>
      <x:c r="C5" s="12" t="str">
        <x:v>Royal Collection</x:v>
      </x:c>
      <x:c r="D5" s="12" t="str">
        <x:v>Rodolitas</x:v>
      </x:c>
      <x:c r="E5" s="12" t="str">
        <x:v>Granada</x:v>
      </x:c>
      <x:c r="F5" s="12" t="str">
        <x:v>Rodolita provisória</x:v>
      </x:c>
      <x:c r="G5" s="12" t="str">
        <x:v>Gema individual</x:v>
      </x:c>
      <x:c r="H5" s="18" t="n">
        <x:v>1</x:v>
      </x:c>
      <x:c r="I5" s="12" t="str">
        <x:v>Oval</x:v>
      </x:c>
      <x:c r="J5" s="12" t="str">
        <x:v>6 x 5</x:v>
      </x:c>
      <x:c r="K5" s="14" t="n">
        <x:v>0.9</x:v>
      </x:c>
      <x:c r="L5" s="12" t="str">
        <x:v>Não</x:v>
      </x:c>
      <x:c r="M5" s="12" t="str">
        <x:v>Estimativa por medidas</x:v>
      </x:c>
      <x:c r="N5" s="12" t="str">
        <x:v>Vinho / framboesa / magenta</x:v>
      </x:c>
      <x:c r="O5" s="12" t="str">
        <x:v>Transparente a translúcida</x:v>
      </x:c>
      <x:c r="P5" s="12" t="str">
        <x:v>Bahia</x:v>
      </x:c>
      <x:c r="Q5" s="12" t="str">
        <x:v>Não avaliado / não informado</x:v>
      </x:c>
      <x:c r="R5" s="12" t="str">
        <x:v>Não</x:v>
      </x:c>
      <x:c r="S5" s="12" t="str"/>
      <x:c r="T5" s="12" t="str"/>
      <x:c r="U5" s="20"/>
      <x:c r="V5" s="20" t="n">
        <x:v>137</x:v>
      </x:c>
      <x:c r="W5" s="20" t="n">
        <x:v>250</x:v>
      </x:c>
      <x:c r="X5" s="20" t="n">
        <x:v>250</x:v>
      </x:c>
      <x:c r="Y5" s="20" t="n">
        <x:v>250</x:v>
      </x:c>
      <x:c r="Z5" s="20" t="n">
        <x:v>750</x:v>
      </x:c>
      <x:c r="AA5" s="20" t="n">
        <x:v>1500</x:v>
      </x:c>
      <x:c r="AB5" s="12" t="str">
        <x:v>Registrado no histórico</x:v>
      </x:c>
      <x:c r="AC5" s="16" t="n">
        <x:v>7.5</x:v>
      </x:c>
      <x:c r="AD5" s="12" t="str">
        <x:v>AA+</x:v>
      </x:c>
      <x:c r="AE5" s="12" t="str">
        <x:v>Baixa</x:v>
      </x:c>
      <x:c r="AF5" s="12" t="str">
        <x:v>Joias femininas, pingentes, brincos</x:v>
      </x:c>
      <x:c r="AG5" s="12" t="str">
        <x:v>Joias femininas, pingentes, brincos</x:v>
      </x:c>
      <x:c r="AH5" s="12" t="str">
        <x:v>Coleção</x:v>
      </x:c>
      <x:c r="AI5" s="12" t="str"/>
      <x:c r="AJ5" s="12" t="str"/>
      <x:c r="AK5" s="12" t="str"/>
      <x:c r="AL5" s="12" t="str"/>
      <x:c r="AM5" s="12" t="str">
        <x:v>Não informado</x:v>
      </x:c>
      <x:c r="AN5" s="12" t="str"/>
      <x:c r="AO5" s="12" t="str">
        <x:v>2026-07-01</x:v>
      </x:c>
      <x:c r="AP5" s="12" t="str">
        <x:v>2026-07-19</x:v>
      </x:c>
      <x:c r="AQ5" s="12" t="str">
        <x:v>Média</x:v>
      </x:c>
      <x:c r="AR5" s="12" t="str">
        <x:v>Inventário mestre completo atualizado em 2026-07-01</x:v>
      </x:c>
      <x:c r="AS5" s="12" t="str">
        <x:v>Confirmar peso</x:v>
      </x:c>
      <x:c r="AT5" s="12" t="str">
        <x:v>Identificação visual como rodolita; pendente de confirmação.</x:v>
      </x:c>
    </x:row>
    <x:row r="6">
      <x:c r="A6" s="12" t="str">
        <x:v>DG-RD-004</x:v>
      </x:c>
      <x:c r="B6" s="12" t="str"/>
      <x:c r="C6" s="12" t="str">
        <x:v>Royal Collection</x:v>
      </x:c>
      <x:c r="D6" s="12" t="str">
        <x:v>Rodolitas</x:v>
      </x:c>
      <x:c r="E6" s="12" t="str">
        <x:v>Granada</x:v>
      </x:c>
      <x:c r="F6" s="12" t="str">
        <x:v>Rodolita provisória</x:v>
      </x:c>
      <x:c r="G6" s="12" t="str">
        <x:v>Gema individual</x:v>
      </x:c>
      <x:c r="H6" s="18" t="n">
        <x:v>1</x:v>
      </x:c>
      <x:c r="I6" s="12" t="str">
        <x:v>Oval</x:v>
      </x:c>
      <x:c r="J6" s="12" t="str">
        <x:v>6 x 5</x:v>
      </x:c>
      <x:c r="K6" s="14" t="n">
        <x:v>0.9</x:v>
      </x:c>
      <x:c r="L6" s="12" t="str">
        <x:v>Não</x:v>
      </x:c>
      <x:c r="M6" s="12" t="str">
        <x:v>Estimativa por medidas</x:v>
      </x:c>
      <x:c r="N6" s="12" t="str">
        <x:v>Vinho / framboesa / magenta</x:v>
      </x:c>
      <x:c r="O6" s="12" t="str">
        <x:v>Transparente a translúcida</x:v>
      </x:c>
      <x:c r="P6" s="12" t="str">
        <x:v>Bahia</x:v>
      </x:c>
      <x:c r="Q6" s="12" t="str">
        <x:v>Não avaliado / não informado</x:v>
      </x:c>
      <x:c r="R6" s="12" t="str">
        <x:v>Não</x:v>
      </x:c>
      <x:c r="S6" s="12" t="str"/>
      <x:c r="T6" s="12" t="str"/>
      <x:c r="U6" s="20"/>
      <x:c r="V6" s="20" t="n">
        <x:v>137</x:v>
      </x:c>
      <x:c r="W6" s="20" t="n">
        <x:v>250</x:v>
      </x:c>
      <x:c r="X6" s="20" t="n">
        <x:v>250</x:v>
      </x:c>
      <x:c r="Y6" s="20" t="n">
        <x:v>250</x:v>
      </x:c>
      <x:c r="Z6" s="20" t="n">
        <x:v>750</x:v>
      </x:c>
      <x:c r="AA6" s="20" t="n">
        <x:v>1500</x:v>
      </x:c>
      <x:c r="AB6" s="12" t="str">
        <x:v>Registrado no histórico</x:v>
      </x:c>
      <x:c r="AC6" s="16" t="n">
        <x:v>7.5</x:v>
      </x:c>
      <x:c r="AD6" s="12" t="str">
        <x:v>AA+</x:v>
      </x:c>
      <x:c r="AE6" s="12" t="str">
        <x:v>Baixa</x:v>
      </x:c>
      <x:c r="AF6" s="12" t="str">
        <x:v>Joias femininas, pingentes, brincos</x:v>
      </x:c>
      <x:c r="AG6" s="12" t="str">
        <x:v>Joias femininas, pingentes, brincos</x:v>
      </x:c>
      <x:c r="AH6" s="12" t="str">
        <x:v>Coleção</x:v>
      </x:c>
      <x:c r="AI6" s="12" t="str"/>
      <x:c r="AJ6" s="12" t="str"/>
      <x:c r="AK6" s="12" t="str"/>
      <x:c r="AL6" s="12" t="str"/>
      <x:c r="AM6" s="12" t="str">
        <x:v>Não informado</x:v>
      </x:c>
      <x:c r="AN6" s="12" t="str"/>
      <x:c r="AO6" s="12" t="str">
        <x:v>2026-07-01</x:v>
      </x:c>
      <x:c r="AP6" s="12" t="str">
        <x:v>2026-07-19</x:v>
      </x:c>
      <x:c r="AQ6" s="12" t="str">
        <x:v>Média</x:v>
      </x:c>
      <x:c r="AR6" s="12" t="str">
        <x:v>Inventário mestre completo atualizado em 2026-07-01</x:v>
      </x:c>
      <x:c r="AS6" s="12" t="str">
        <x:v>Confirmar peso</x:v>
      </x:c>
      <x:c r="AT6" s="12" t="str">
        <x:v>Identificação visual como rodolita; pendente de confirmação.</x:v>
      </x:c>
    </x:row>
    <x:row r="7">
      <x:c r="A7" s="12" t="str">
        <x:v>DG-RD-005</x:v>
      </x:c>
      <x:c r="B7" s="12" t="str"/>
      <x:c r="C7" s="12" t="str">
        <x:v>Royal Collection</x:v>
      </x:c>
      <x:c r="D7" s="12" t="str">
        <x:v>Rodolitas</x:v>
      </x:c>
      <x:c r="E7" s="12" t="str">
        <x:v>Granada</x:v>
      </x:c>
      <x:c r="F7" s="12" t="str">
        <x:v>Rodolita provisória</x:v>
      </x:c>
      <x:c r="G7" s="12" t="str">
        <x:v>Gema individual</x:v>
      </x:c>
      <x:c r="H7" s="18" t="n">
        <x:v>1</x:v>
      </x:c>
      <x:c r="I7" s="12" t="str">
        <x:v>Oval</x:v>
      </x:c>
      <x:c r="J7" s="12" t="str">
        <x:v>6 x 5</x:v>
      </x:c>
      <x:c r="K7" s="14" t="n">
        <x:v>0.9</x:v>
      </x:c>
      <x:c r="L7" s="12" t="str">
        <x:v>Não</x:v>
      </x:c>
      <x:c r="M7" s="12" t="str">
        <x:v>Estimativa por medidas</x:v>
      </x:c>
      <x:c r="N7" s="12" t="str">
        <x:v>Vinho / framboesa / magenta</x:v>
      </x:c>
      <x:c r="O7" s="12" t="str">
        <x:v>Transparente a translúcida</x:v>
      </x:c>
      <x:c r="P7" s="12" t="str">
        <x:v>Bahia</x:v>
      </x:c>
      <x:c r="Q7" s="12" t="str">
        <x:v>Não avaliado / não informado</x:v>
      </x:c>
      <x:c r="R7" s="12" t="str">
        <x:v>Não</x:v>
      </x:c>
      <x:c r="S7" s="12" t="str"/>
      <x:c r="T7" s="12" t="str"/>
      <x:c r="U7" s="20"/>
      <x:c r="V7" s="20" t="n">
        <x:v>137</x:v>
      </x:c>
      <x:c r="W7" s="20" t="n">
        <x:v>250</x:v>
      </x:c>
      <x:c r="X7" s="20" t="n">
        <x:v>250</x:v>
      </x:c>
      <x:c r="Y7" s="20" t="n">
        <x:v>250</x:v>
      </x:c>
      <x:c r="Z7" s="20" t="n">
        <x:v>750</x:v>
      </x:c>
      <x:c r="AA7" s="20" t="n">
        <x:v>1500</x:v>
      </x:c>
      <x:c r="AB7" s="12" t="str">
        <x:v>Registrado no histórico</x:v>
      </x:c>
      <x:c r="AC7" s="16" t="n">
        <x:v>7.5</x:v>
      </x:c>
      <x:c r="AD7" s="12" t="str">
        <x:v>AA+</x:v>
      </x:c>
      <x:c r="AE7" s="12" t="str">
        <x:v>Baixa</x:v>
      </x:c>
      <x:c r="AF7" s="12" t="str">
        <x:v>Joias femininas, pingentes, brincos</x:v>
      </x:c>
      <x:c r="AG7" s="12" t="str">
        <x:v>Joias femininas, pingentes, brincos</x:v>
      </x:c>
      <x:c r="AH7" s="12" t="str">
        <x:v>Coleção</x:v>
      </x:c>
      <x:c r="AI7" s="12" t="str"/>
      <x:c r="AJ7" s="12" t="str"/>
      <x:c r="AK7" s="12" t="str"/>
      <x:c r="AL7" s="12" t="str"/>
      <x:c r="AM7" s="12" t="str">
        <x:v>Não informado</x:v>
      </x:c>
      <x:c r="AN7" s="12" t="str"/>
      <x:c r="AO7" s="12" t="str">
        <x:v>2026-07-01</x:v>
      </x:c>
      <x:c r="AP7" s="12" t="str">
        <x:v>2026-07-19</x:v>
      </x:c>
      <x:c r="AQ7" s="12" t="str">
        <x:v>Média</x:v>
      </x:c>
      <x:c r="AR7" s="12" t="str">
        <x:v>Inventário mestre completo atualizado em 2026-07-01</x:v>
      </x:c>
      <x:c r="AS7" s="12" t="str">
        <x:v>Confirmar peso</x:v>
      </x:c>
      <x:c r="AT7" s="12" t="str">
        <x:v>Identificação visual como rodolita; pendente de confirmação.</x:v>
      </x:c>
    </x:row>
    <x:row r="8">
      <x:c r="A8" s="12" t="str">
        <x:v>DG-RD-006</x:v>
      </x:c>
      <x:c r="B8" s="12" t="str"/>
      <x:c r="C8" s="12" t="str">
        <x:v>Royal Collection</x:v>
      </x:c>
      <x:c r="D8" s="12" t="str">
        <x:v>Rodolitas</x:v>
      </x:c>
      <x:c r="E8" s="12" t="str">
        <x:v>Granada</x:v>
      </x:c>
      <x:c r="F8" s="12" t="str">
        <x:v>Rodolita provisória</x:v>
      </x:c>
      <x:c r="G8" s="12" t="str">
        <x:v>Gema individual</x:v>
      </x:c>
      <x:c r="H8" s="18" t="n">
        <x:v>1</x:v>
      </x:c>
      <x:c r="I8" s="12" t="str">
        <x:v>Quadrada/Princesa</x:v>
      </x:c>
      <x:c r="J8" s="12" t="str">
        <x:v>5 x 5</x:v>
      </x:c>
      <x:c r="K8" s="14" t="n">
        <x:v>0.75</x:v>
      </x:c>
      <x:c r="L8" s="12" t="str">
        <x:v>Não</x:v>
      </x:c>
      <x:c r="M8" s="12" t="str">
        <x:v>Estimativa por medidas</x:v>
      </x:c>
      <x:c r="N8" s="12" t="str">
        <x:v>Vinho / framboesa / magenta</x:v>
      </x:c>
      <x:c r="O8" s="12" t="str">
        <x:v>Transparente a translúcida</x:v>
      </x:c>
      <x:c r="P8" s="12" t="str">
        <x:v>Bahia</x:v>
      </x:c>
      <x:c r="Q8" s="12" t="str">
        <x:v>Não avaliado / não informado</x:v>
      </x:c>
      <x:c r="R8" s="12" t="str">
        <x:v>Não</x:v>
      </x:c>
      <x:c r="S8" s="12" t="str"/>
      <x:c r="T8" s="12" t="str"/>
      <x:c r="U8" s="20"/>
      <x:c r="V8" s="20" t="n">
        <x:v>121</x:v>
      </x:c>
      <x:c r="W8" s="20" t="n">
        <x:v>220</x:v>
      </x:c>
      <x:c r="X8" s="20" t="n">
        <x:v>220</x:v>
      </x:c>
      <x:c r="Y8" s="20" t="n">
        <x:v>220</x:v>
      </x:c>
      <x:c r="Z8" s="20" t="n">
        <x:v>660</x:v>
      </x:c>
      <x:c r="AA8" s="20" t="n">
        <x:v>1320</x:v>
      </x:c>
      <x:c r="AB8" s="12" t="str">
        <x:v>Registrado no histórico</x:v>
      </x:c>
      <x:c r="AC8" s="16" t="n">
        <x:v>7.5</x:v>
      </x:c>
      <x:c r="AD8" s="12" t="str">
        <x:v>AA+</x:v>
      </x:c>
      <x:c r="AE8" s="12" t="str">
        <x:v>Baixa</x:v>
      </x:c>
      <x:c r="AF8" s="12" t="str">
        <x:v>Joias femininas, pingentes, brincos</x:v>
      </x:c>
      <x:c r="AG8" s="12" t="str">
        <x:v>Joias femininas, pingentes, brincos</x:v>
      </x:c>
      <x:c r="AH8" s="12" t="str">
        <x:v>Coleção</x:v>
      </x:c>
      <x:c r="AI8" s="12" t="str"/>
      <x:c r="AJ8" s="12" t="str"/>
      <x:c r="AK8" s="12" t="str"/>
      <x:c r="AL8" s="12" t="str"/>
      <x:c r="AM8" s="12" t="str">
        <x:v>Não informado</x:v>
      </x:c>
      <x:c r="AN8" s="12" t="str"/>
      <x:c r="AO8" s="12" t="str">
        <x:v>2026-07-01</x:v>
      </x:c>
      <x:c r="AP8" s="12" t="str">
        <x:v>2026-07-19</x:v>
      </x:c>
      <x:c r="AQ8" s="12" t="str">
        <x:v>Média</x:v>
      </x:c>
      <x:c r="AR8" s="12" t="str">
        <x:v>Inventário mestre completo atualizado em 2026-07-01</x:v>
      </x:c>
      <x:c r="AS8" s="12" t="str">
        <x:v>Confirmar peso</x:v>
      </x:c>
      <x:c r="AT8" s="12" t="str">
        <x:v>Identificação visual como rodolita; pendente de confirmação.</x:v>
      </x:c>
    </x:row>
    <x:row r="9">
      <x:c r="A9" s="12" t="str">
        <x:v>DG-RD-007</x:v>
      </x:c>
      <x:c r="B9" s="12" t="str"/>
      <x:c r="C9" s="12" t="str">
        <x:v>Royal Collection</x:v>
      </x:c>
      <x:c r="D9" s="12" t="str">
        <x:v>Rodolitas</x:v>
      </x:c>
      <x:c r="E9" s="12" t="str">
        <x:v>Granada</x:v>
      </x:c>
      <x:c r="F9" s="12" t="str">
        <x:v>Rodolita provisória</x:v>
      </x:c>
      <x:c r="G9" s="12" t="str">
        <x:v>Gema individual</x:v>
      </x:c>
      <x:c r="H9" s="18" t="n">
        <x:v>1</x:v>
      </x:c>
      <x:c r="I9" s="12" t="str">
        <x:v>Redonda</x:v>
      </x:c>
      <x:c r="J9" s="12" t="str">
        <x:v>5 x 5</x:v>
      </x:c>
      <x:c r="K9" s="14" t="n">
        <x:v>0.6</x:v>
      </x:c>
      <x:c r="L9" s="12" t="str">
        <x:v>Não</x:v>
      </x:c>
      <x:c r="M9" s="12" t="str">
        <x:v>Estimativa por medidas</x:v>
      </x:c>
      <x:c r="N9" s="12" t="str">
        <x:v>Vinho / framboesa / magenta</x:v>
      </x:c>
      <x:c r="O9" s="12" t="str">
        <x:v>Transparente a translúcida</x:v>
      </x:c>
      <x:c r="P9" s="12" t="str">
        <x:v>Bahia</x:v>
      </x:c>
      <x:c r="Q9" s="12" t="str">
        <x:v>Não avaliado / não informado</x:v>
      </x:c>
      <x:c r="R9" s="12" t="str">
        <x:v>Não</x:v>
      </x:c>
      <x:c r="S9" s="12" t="str"/>
      <x:c r="T9" s="12" t="str"/>
      <x:c r="U9" s="20"/>
      <x:c r="V9" s="20" t="n">
        <x:v>99</x:v>
      </x:c>
      <x:c r="W9" s="20" t="n">
        <x:v>180</x:v>
      </x:c>
      <x:c r="X9" s="20" t="n">
        <x:v>180</x:v>
      </x:c>
      <x:c r="Y9" s="20" t="n">
        <x:v>180</x:v>
      </x:c>
      <x:c r="Z9" s="20" t="n">
        <x:v>540</x:v>
      </x:c>
      <x:c r="AA9" s="20" t="n">
        <x:v>1080</x:v>
      </x:c>
      <x:c r="AB9" s="12" t="str">
        <x:v>Registrado no histórico</x:v>
      </x:c>
      <x:c r="AC9" s="16" t="n">
        <x:v>7.5</x:v>
      </x:c>
      <x:c r="AD9" s="12" t="str">
        <x:v>AA+</x:v>
      </x:c>
      <x:c r="AE9" s="12" t="str">
        <x:v>Baixa</x:v>
      </x:c>
      <x:c r="AF9" s="12" t="str">
        <x:v>Joias femininas, pingentes, brincos</x:v>
      </x:c>
      <x:c r="AG9" s="12" t="str">
        <x:v>Joias femininas, pingentes, brincos</x:v>
      </x:c>
      <x:c r="AH9" s="12" t="str">
        <x:v>Coleção</x:v>
      </x:c>
      <x:c r="AI9" s="12" t="str"/>
      <x:c r="AJ9" s="12" t="str"/>
      <x:c r="AK9" s="12" t="str"/>
      <x:c r="AL9" s="12" t="str"/>
      <x:c r="AM9" s="12" t="str">
        <x:v>Não informado</x:v>
      </x:c>
      <x:c r="AN9" s="12" t="str"/>
      <x:c r="AO9" s="12" t="str">
        <x:v>2026-07-01</x:v>
      </x:c>
      <x:c r="AP9" s="12" t="str">
        <x:v>2026-07-19</x:v>
      </x:c>
      <x:c r="AQ9" s="12" t="str">
        <x:v>Média</x:v>
      </x:c>
      <x:c r="AR9" s="12" t="str">
        <x:v>Inventário mestre completo atualizado em 2026-07-01</x:v>
      </x:c>
      <x:c r="AS9" s="12" t="str">
        <x:v>Confirmar peso</x:v>
      </x:c>
      <x:c r="AT9" s="12" t="str">
        <x:v>Identificação visual como rodolita; pendente de confirmação.</x:v>
      </x:c>
    </x:row>
    <x:row r="10">
      <x:c r="A10" s="12" t="str">
        <x:v>DG-GR-001</x:v>
      </x:c>
      <x:c r="B10" s="12" t="str"/>
      <x:c r="C10" s="12" t="str">
        <x:v>Garnet Collection</x:v>
      </x:c>
      <x:c r="D10" s="12" t="str">
        <x:v>Granadas</x:v>
      </x:c>
      <x:c r="E10" s="12" t="str">
        <x:v>Granada</x:v>
      </x:c>
      <x:c r="F10" s="12" t="str">
        <x:v>Almandina/Piropo provável</x:v>
      </x:c>
      <x:c r="G10" s="12" t="str">
        <x:v>Lote</x:v>
      </x:c>
      <x:c r="H10" s="18" t="n">
        <x:v>15</x:v>
      </x:c>
      <x:c r="I10" s="12" t="str">
        <x:v>Ovais + 1 retangular</x:v>
      </x:c>
      <x:c r="J10" s="12" t="str">
        <x:v>Ovais 6x5; retangular 6x4</x:v>
      </x:c>
      <x:c r="K10" s="14" t="n">
        <x:v>7.49</x:v>
      </x:c>
      <x:c r="L10" s="12" t="str">
        <x:v>Sim (calculado)</x:v>
      </x:c>
      <x:c r="M10" s="12" t="str">
        <x:v>14 ovais × 0,485 ct + 1 retangular × 0,700 ct</x:v>
      </x:c>
      <x:c r="N10" s="12" t="str">
        <x:v>Vermelho conhaque / canela</x:v>
      </x:c>
      <x:c r="O10" s="12" t="str">
        <x:v>Transparente a translúcida</x:v>
      </x:c>
      <x:c r="P10" s="12" t="str"/>
      <x:c r="Q10" s="12" t="str">
        <x:v>Não avaliado / não informado</x:v>
      </x:c>
      <x:c r="R10" s="12" t="str">
        <x:v>Não</x:v>
      </x:c>
      <x:c r="S10" s="12" t="str"/>
      <x:c r="T10" s="12" t="str"/>
      <x:c r="U10" s="20" t="n">
        <x:v>150</x:v>
      </x:c>
      <x:c r="V10" s="20" t="n">
        <x:v>600</x:v>
      </x:c>
      <x:c r="W10" s="20" t="n">
        <x:v>1200</x:v>
      </x:c>
      <x:c r="X10" s="20" t="n">
        <x:v>600</x:v>
      </x:c>
      <x:c r="Y10" s="20" t="n">
        <x:v>1200</x:v>
      </x:c>
      <x:c r="Z10" s="20" t="n">
        <x:v>4000</x:v>
      </x:c>
      <x:c r="AA10" s="20" t="n">
        <x:v>10000</x:v>
      </x:c>
      <x:c r="AB10" s="12" t="str">
        <x:v>Registrado no histórico</x:v>
      </x:c>
      <x:c r="AC10" s="16" t="n">
        <x:v>7.6</x:v>
      </x:c>
      <x:c r="AD10" s="12" t="str">
        <x:v>B+</x:v>
      </x:c>
      <x:c r="AE10" s="12" t="str">
        <x:v>Baixa</x:v>
      </x:c>
      <x:c r="AF10" s="12" t="str">
        <x:v>Anéis masculinos, brincos, pingentes vintage</x:v>
      </x:c>
      <x:c r="AG10" s="12" t="str">
        <x:v>Anéis masculinos, brincos, pingentes vintage</x:v>
      </x:c>
      <x:c r="AH10" s="12" t="str">
        <x:v>Coleção</x:v>
      </x:c>
      <x:c r="AI10" s="12" t="str"/>
      <x:c r="AJ10" s="12" t="str"/>
      <x:c r="AK10" s="12" t="str"/>
      <x:c r="AL10" s="12" t="str"/>
      <x:c r="AM10" s="12" t="str">
        <x:v>Não informado</x:v>
      </x:c>
      <x:c r="AN10" s="12" t="str"/>
      <x:c r="AO10" s="12" t="str">
        <x:v>2026-07-01</x:v>
      </x:c>
      <x:c r="AP10" s="12" t="str">
        <x:v>2026-07-19</x:v>
      </x:c>
      <x:c r="AQ10" s="12" t="str">
        <x:v>Alta</x:v>
      </x:c>
      <x:c r="AR10" s="12" t="str">
        <x:v>Inventário mestre completo atualizado em 2026-07-01</x:v>
      </x:c>
      <x:c r="AS10" s="12" t="str">
        <x:v>Confirmar identificação em laboratório</x:v>
      </x:c>
      <x:c r="AT10" s="12" t="str">
        <x:v>Quantidade visual aproximada; confirmar posteriormente. Composição atualizada: 14 granadas ovais com média de 0,485 ct e 1 granada retangular de 0,700 ct. Peso total do lote: 7,490 ct.</x:v>
      </x:c>
    </x:row>
    <x:row r="11">
      <x:c r="A11" s="12" t="str">
        <x:v>DG-TB-001</x:v>
      </x:c>
      <x:c r="B11" s="12" t="str"/>
      <x:c r="C11" s="12" t="str">
        <x:v>Classic Collection</x:v>
      </x:c>
      <x:c r="D11" s="12" t="str">
        <x:v>Topázios</x:v>
      </x:c>
      <x:c r="E11" s="12" t="str">
        <x:v>Topázio</x:v>
      </x:c>
      <x:c r="F11" s="12" t="str">
        <x:v>Azul</x:v>
      </x:c>
      <x:c r="G11" s="12" t="str">
        <x:v>Gema individual</x:v>
      </x:c>
      <x:c r="H11" s="18" t="n">
        <x:v>1</x:v>
      </x:c>
      <x:c r="I11" s="12" t="str">
        <x:v>Oval</x:v>
      </x:c>
      <x:c r="J11" s="12" t="str">
        <x:v>7 x 5</x:v>
      </x:c>
      <x:c r="K11" s="14" t="n">
        <x:v>0.95</x:v>
      </x:c>
      <x:c r="L11" s="12" t="str">
        <x:v>Não</x:v>
      </x:c>
      <x:c r="M11" s="12" t="str">
        <x:v>Estimativa por medidas</x:v>
      </x:c>
      <x:c r="N11" s="12" t="str">
        <x:v>Sky Blue</x:v>
      </x:c>
      <x:c r="O11" s="12" t="str">
        <x:v>Transparente</x:v>
      </x:c>
      <x:c r="P11" s="12" t="str"/>
      <x:c r="Q11" s="12" t="str">
        <x:v>Não avaliado / não informado</x:v>
      </x:c>
      <x:c r="R11" s="12" t="str">
        <x:v>Não</x:v>
      </x:c>
      <x:c r="S11" s="12" t="str"/>
      <x:c r="T11" s="12" t="str"/>
      <x:c r="U11" s="20"/>
      <x:c r="V11" s="20" t="n">
        <x:v>180</x:v>
      </x:c>
      <x:c r="W11" s="20" t="n">
        <x:v>350</x:v>
      </x:c>
      <x:c r="X11" s="20" t="n">
        <x:v>180</x:v>
      </x:c>
      <x:c r="Y11" s="20" t="n">
        <x:v>350</x:v>
      </x:c>
      <x:c r="Z11" s="20" t="n">
        <x:v>900</x:v>
      </x:c>
      <x:c r="AA11" s="20" t="n">
        <x:v>2200</x:v>
      </x:c>
      <x:c r="AB11" s="12" t="str">
        <x:v>Registrado no histórico</x:v>
      </x:c>
      <x:c r="AC11" s="16" t="n">
        <x:v>7.4</x:v>
      </x:c>
      <x:c r="AD11" s="12" t="str">
        <x:v>B</x:v>
      </x:c>
      <x:c r="AE11" s="12" t="str">
        <x:v>Baixa</x:v>
      </x:c>
      <x:c r="AF11" s="12" t="str">
        <x:v>Anel solitário / pingente</x:v>
      </x:c>
      <x:c r="AG11" s="12" t="str">
        <x:v>Anel solitário / pingente</x:v>
      </x:c>
      <x:c r="AH11" s="12" t="str">
        <x:v>Coleção</x:v>
      </x:c>
      <x:c r="AI11" s="12" t="str"/>
      <x:c r="AJ11" s="12" t="str"/>
      <x:c r="AK11" s="12" t="str"/>
      <x:c r="AL11" s="12" t="str"/>
      <x:c r="AM11" s="12" t="str">
        <x:v>Não informado</x:v>
      </x:c>
      <x:c r="AN11" s="12" t="str"/>
      <x:c r="AO11" s="12" t="str">
        <x:v>2026-07-01</x:v>
      </x:c>
      <x:c r="AP11" s="12" t="str">
        <x:v>2026-07-19</x:v>
      </x:c>
      <x:c r="AQ11" s="12" t="str">
        <x:v>Média</x:v>
      </x:c>
      <x:c r="AR11" s="12" t="str">
        <x:v>Inventário mestre completo atualizado em 2026-07-01</x:v>
      </x:c>
      <x:c r="AS11" s="12" t="str">
        <x:v>Confirmar peso</x:v>
      </x:c>
      <x:c r="AT11" s="12" t="str"/>
    </x:row>
    <x:row r="12">
      <x:c r="A12" s="12" t="str">
        <x:v>DG-TB-002</x:v>
      </x:c>
      <x:c r="B12" s="12" t="str"/>
      <x:c r="C12" s="12" t="str">
        <x:v>Classic Collection</x:v>
      </x:c>
      <x:c r="D12" s="12" t="str">
        <x:v>Topázios</x:v>
      </x:c>
      <x:c r="E12" s="12" t="str">
        <x:v>Topázio</x:v>
      </x:c>
      <x:c r="F12" s="12" t="str">
        <x:v>Azul</x:v>
      </x:c>
      <x:c r="G12" s="12" t="str">
        <x:v>Lote</x:v>
      </x:c>
      <x:c r="H12" s="18" t="n">
        <x:v>6</x:v>
      </x:c>
      <x:c r="I12" s="12" t="str">
        <x:v>3 redondas + trillion + princess + retangular</x:v>
      </x:c>
      <x:c r="J12" s="12" t="str">
        <x:v>5x5; retangular 7x5</x:v>
      </x:c>
      <x:c r="K12" s="14" t="n">
        <x:v>3.8</x:v>
      </x:c>
      <x:c r="L12" s="12" t="str">
        <x:v>Não</x:v>
      </x:c>
      <x:c r="M12" s="12" t="str">
        <x:v>Estimativa por medidas</x:v>
      </x:c>
      <x:c r="N12" s="12" t="str">
        <x:v>Sky Blue</x:v>
      </x:c>
      <x:c r="O12" s="12" t="str">
        <x:v>Transparente</x:v>
      </x:c>
      <x:c r="P12" s="12" t="str"/>
      <x:c r="Q12" s="12" t="str">
        <x:v>Não avaliado / não informado</x:v>
      </x:c>
      <x:c r="R12" s="12" t="str">
        <x:v>Não</x:v>
      </x:c>
      <x:c r="S12" s="12" t="str"/>
      <x:c r="T12" s="12" t="str"/>
      <x:c r="U12" s="20"/>
      <x:c r="V12" s="20" t="n">
        <x:v>1220</x:v>
      </x:c>
      <x:c r="W12" s="20" t="n">
        <x:v>2350</x:v>
      </x:c>
      <x:c r="X12" s="20" t="n">
        <x:v>1220</x:v>
      </x:c>
      <x:c r="Y12" s="20" t="n">
        <x:v>2350</x:v>
      </x:c>
      <x:c r="Z12" s="20" t="n">
        <x:v>7100</x:v>
      </x:c>
      <x:c r="AA12" s="20" t="n">
        <x:v>15800</x:v>
      </x:c>
      <x:c r="AB12" s="12" t="str">
        <x:v>Registrado no histórico</x:v>
      </x:c>
      <x:c r="AC12" s="16" t="n">
        <x:v>7.3</x:v>
      </x:c>
      <x:c r="AD12" s="12" t="str">
        <x:v>B</x:v>
      </x:c>
      <x:c r="AE12" s="12" t="str">
        <x:v>Baixa</x:v>
      </x:c>
      <x:c r="AF12" s="12" t="str">
        <x:v>Coleção Geometry / Ocean / Ice</x:v>
      </x:c>
      <x:c r="AG12" s="12" t="str">
        <x:v>Coleção Geometry / Ocean / Ice</x:v>
      </x:c>
      <x:c r="AH12" s="12" t="str">
        <x:v>Coleção</x:v>
      </x:c>
      <x:c r="AI12" s="12" t="str"/>
      <x:c r="AJ12" s="12" t="str"/>
      <x:c r="AK12" s="12" t="str"/>
      <x:c r="AL12" s="12" t="str"/>
      <x:c r="AM12" s="12" t="str">
        <x:v>Não informado</x:v>
      </x:c>
      <x:c r="AN12" s="12" t="str"/>
      <x:c r="AO12" s="12" t="str">
        <x:v>2026-07-01</x:v>
      </x:c>
      <x:c r="AP12" s="12" t="str">
        <x:v>2026-07-19</x:v>
      </x:c>
      <x:c r="AQ12" s="12" t="str">
        <x:v>Média</x:v>
      </x:c>
      <x:c r="AR12" s="12" t="str">
        <x:v>Inventário mestre completo atualizado em 2026-07-01</x:v>
      </x:c>
      <x:c r="AS12" s="12" t="str">
        <x:v>Confirmar peso</x:v>
      </x:c>
      <x:c r="AT12" s="12" t="str"/>
    </x:row>
    <x:row r="13">
      <x:c r="A13" s="12" t="str">
        <x:v>DG-TI-001</x:v>
      </x:c>
      <x:c r="B13" s="12" t="str"/>
      <x:c r="C13" s="12" t="str">
        <x:v>Imperial Collection</x:v>
      </x:c>
      <x:c r="D13" s="12" t="str">
        <x:v>Topázios</x:v>
      </x:c>
      <x:c r="E13" s="12" t="str">
        <x:v>Topázio</x:v>
      </x:c>
      <x:c r="F13" s="12" t="str">
        <x:v>Imperial</x:v>
      </x:c>
      <x:c r="G13" s="12" t="str">
        <x:v>Gema individual</x:v>
      </x:c>
      <x:c r="H13" s="18" t="n">
        <x:v>1</x:v>
      </x:c>
      <x:c r="I13" s="12" t="str">
        <x:v>Gota</x:v>
      </x:c>
      <x:c r="J13" s="12" t="str">
        <x:v>10 x 5</x:v>
      </x:c>
      <x:c r="K13" s="14" t="n">
        <x:v>1.85</x:v>
      </x:c>
      <x:c r="L13" s="12" t="str">
        <x:v>Não</x:v>
      </x:c>
      <x:c r="M13" s="12" t="str">
        <x:v>Estimativa por medidas</x:v>
      </x:c>
      <x:c r="N13" s="12" t="str">
        <x:v>Champagne / Laranja Dourado / Conhaque</x:v>
      </x:c>
      <x:c r="O13" s="12" t="str">
        <x:v>Transparente</x:v>
      </x:c>
      <x:c r="P13" s="12" t="str">
        <x:v>Brasil</x:v>
      </x:c>
      <x:c r="Q13" s="12" t="str">
        <x:v>Não avaliado / não informado</x:v>
      </x:c>
      <x:c r="R13" s="12" t="str">
        <x:v>Não</x:v>
      </x:c>
      <x:c r="S13" s="12" t="str"/>
      <x:c r="T13" s="12" t="str"/>
      <x:c r="U13" s="20"/>
      <x:c r="V13" s="20" t="n">
        <x:v>2500</x:v>
      </x:c>
      <x:c r="W13" s="20" t="n">
        <x:v>4000</x:v>
      </x:c>
      <x:c r="X13" s="20" t="n">
        <x:v>4500</x:v>
      </x:c>
      <x:c r="Y13" s="20" t="n">
        <x:v>7500</x:v>
      </x:c>
      <x:c r="Z13" s="20" t="n">
        <x:v>7000</x:v>
      </x:c>
      <x:c r="AA13" s="20" t="n">
        <x:v>10000</x:v>
      </x:c>
      <x:c r="AB13" s="12" t="str">
        <x:v>Registrado no histórico</x:v>
      </x:c>
      <x:c r="AC13" s="16" t="n">
        <x:v>8.8</x:v>
      </x:c>
      <x:c r="AD13" s="12" t="str">
        <x:v>A-</x:v>
      </x:c>
      <x:c r="AE13" s="12" t="str">
        <x:v>Média</x:v>
      </x:c>
      <x:c r="AF13" s="12" t="str">
        <x:v>Pingente premium com Paraíba/diamantes</x:v>
      </x:c>
      <x:c r="AG13" s="12" t="str">
        <x:v>Pingente premium com Paraíba/diamantes</x:v>
      </x:c>
      <x:c r="AH13" s="12" t="str">
        <x:v>Coleção</x:v>
      </x:c>
      <x:c r="AI13" s="12" t="str"/>
      <x:c r="AJ13" s="12" t="str"/>
      <x:c r="AK13" s="12" t="str"/>
      <x:c r="AL13" s="12" t="str"/>
      <x:c r="AM13" s="12" t="str">
        <x:v>Não informado</x:v>
      </x:c>
      <x:c r="AN13" s="12" t="str"/>
      <x:c r="AO13" s="12" t="str">
        <x:v>2026-07-01</x:v>
      </x:c>
      <x:c r="AP13" s="12" t="str">
        <x:v>2026-07-19</x:v>
      </x:c>
      <x:c r="AQ13" s="12" t="str">
        <x:v>Média</x:v>
      </x:c>
      <x:c r="AR13" s="12" t="str">
        <x:v>Inventário mestre completo atualizado em 2026-07-01</x:v>
      </x:c>
      <x:c r="AS13" s="12" t="str">
        <x:v>Confirmar peso; Avaliar certificação</x:v>
      </x:c>
      <x:c r="AT13" s="12" t="str">
        <x:v>Atualizar quando houver peso real.</x:v>
      </x:c>
    </x:row>
    <x:row r="14">
      <x:c r="A14" s="12" t="str">
        <x:v>DG-AM-001</x:v>
      </x:c>
      <x:c r="B14" s="12" t="str"/>
      <x:c r="C14" s="12" t="str">
        <x:v>Classic Collection</x:v>
      </x:c>
      <x:c r="D14" s="12" t="str">
        <x:v>Ametistas</x:v>
      </x:c>
      <x:c r="E14" s="12" t="str">
        <x:v>Ametista</x:v>
      </x:c>
      <x:c r="F14" s="12" t="str">
        <x:v>Natural</x:v>
      </x:c>
      <x:c r="G14" s="12" t="str">
        <x:v>Lote</x:v>
      </x:c>
      <x:c r="H14" s="18" t="n">
        <x:v>9</x:v>
      </x:c>
      <x:c r="I14" s="12" t="str">
        <x:v>Coração</x:v>
      </x:c>
      <x:c r="J14" s="12" t="str">
        <x:v>5 x 5 cada</x:v>
      </x:c>
      <x:c r="K14" s="14" t="n">
        <x:v>4.68</x:v>
      </x:c>
      <x:c r="L14" s="12" t="str">
        <x:v>Não</x:v>
      </x:c>
      <x:c r="M14" s="12" t="str">
        <x:v>Estimativa por medidas</x:v>
      </x:c>
      <x:c r="N14" s="12" t="str">
        <x:v>Roxo médio/intenso/lavanda</x:v>
      </x:c>
      <x:c r="O14" s="12" t="str">
        <x:v>Transparente</x:v>
      </x:c>
      <x:c r="P14" s="12" t="str"/>
      <x:c r="Q14" s="12" t="str">
        <x:v>Não avaliado / não informado</x:v>
      </x:c>
      <x:c r="R14" s="12" t="str">
        <x:v>Não</x:v>
      </x:c>
      <x:c r="S14" s="12" t="str"/>
      <x:c r="T14" s="12" t="str"/>
      <x:c r="U14" s="20" t="n">
        <x:v>112.5</x:v>
      </x:c>
      <x:c r="V14" s="20" t="n">
        <x:v>315</x:v>
      </x:c>
      <x:c r="W14" s="20" t="n">
        <x:v>720</x:v>
      </x:c>
      <x:c r="X14" s="20" t="n">
        <x:v>315</x:v>
      </x:c>
      <x:c r="Y14" s="20" t="n">
        <x:v>720</x:v>
      </x:c>
      <x:c r="Z14" s="20" t="n">
        <x:v>1500</x:v>
      </x:c>
      <x:c r="AA14" s="20" t="n">
        <x:v>4500</x:v>
      </x:c>
      <x:c r="AB14" s="12" t="str">
        <x:v>Registrado no histórico</x:v>
      </x:c>
      <x:c r="AC14" s="16" t="n">
        <x:v>7.8</x:v>
      </x:c>
      <x:c r="AD14" s="12" t="str">
        <x:v>B</x:v>
      </x:c>
      <x:c r="AE14" s="12" t="str">
        <x:v>Baixa</x:v>
      </x:c>
      <x:c r="AF14" s="12" t="str">
        <x:v>Brincos, pulseira, colar Floating Hearts</x:v>
      </x:c>
      <x:c r="AG14" s="12" t="str">
        <x:v>Brincos, pulseira, colar Floating Hearts</x:v>
      </x:c>
      <x:c r="AH14" s="12" t="str">
        <x:v>Coleção</x:v>
      </x:c>
      <x:c r="AI14" s="12" t="str"/>
      <x:c r="AJ14" s="12" t="str"/>
      <x:c r="AK14" s="12" t="str"/>
      <x:c r="AL14" s="12" t="str"/>
      <x:c r="AM14" s="12" t="str">
        <x:v>Não informado</x:v>
      </x:c>
      <x:c r="AN14" s="12" t="str"/>
      <x:c r="AO14" s="12" t="str">
        <x:v>2026-07-01</x:v>
      </x:c>
      <x:c r="AP14" s="12" t="str">
        <x:v>2026-07-19</x:v>
      </x:c>
      <x:c r="AQ14" s="12" t="str">
        <x:v>Média</x:v>
      </x:c>
      <x:c r="AR14" s="12" t="str">
        <x:v>Inventário mestre completo atualizado em 2026-07-01</x:v>
      </x:c>
      <x:c r="AS14" s="12" t="str">
        <x:v>Confirmar peso</x:v>
      </x:c>
      <x:c r="AT14" s="12" t="str">
        <x:v>R$10–15/un; custo médio usado R$12,50.</x:v>
      </x:c>
    </x:row>
    <x:row r="15">
      <x:c r="A15" s="12" t="str">
        <x:v>DG-AM-002</x:v>
      </x:c>
      <x:c r="B15" s="12" t="str"/>
      <x:c r="C15" s="12" t="str">
        <x:v>Classic Collection</x:v>
      </x:c>
      <x:c r="D15" s="12" t="str">
        <x:v>Ametistas</x:v>
      </x:c>
      <x:c r="E15" s="12" t="str">
        <x:v>Ametista</x:v>
      </x:c>
      <x:c r="F15" s="12" t="str">
        <x:v>Natural</x:v>
      </x:c>
      <x:c r="G15" s="12" t="str">
        <x:v>Lote</x:v>
      </x:c>
      <x:c r="H15" s="18" t="n">
        <x:v>5</x:v>
      </x:c>
      <x:c r="I15" s="12" t="str">
        <x:v>Oval</x:v>
      </x:c>
      <x:c r="J15" s="12" t="str">
        <x:v>6 x 5 cada</x:v>
      </x:c>
      <x:c r="K15" s="14" t="n">
        <x:v>3.5</x:v>
      </x:c>
      <x:c r="L15" s="12" t="str">
        <x:v>Não</x:v>
      </x:c>
      <x:c r="M15" s="12" t="str">
        <x:v>Estimativa por medidas</x:v>
      </x:c>
      <x:c r="N15" s="12" t="str">
        <x:v>Roxo médio / lavanda</x:v>
      </x:c>
      <x:c r="O15" s="12" t="str">
        <x:v>Transparente</x:v>
      </x:c>
      <x:c r="P15" s="12" t="str"/>
      <x:c r="Q15" s="12" t="str">
        <x:v>Não avaliado / não informado</x:v>
      </x:c>
      <x:c r="R15" s="12" t="str">
        <x:v>Não</x:v>
      </x:c>
      <x:c r="S15" s="12" t="str"/>
      <x:c r="T15" s="12" t="str"/>
      <x:c r="U15" s="20" t="n">
        <x:v>62.5</x:v>
      </x:c>
      <x:c r="V15" s="20" t="n">
        <x:v>225</x:v>
      </x:c>
      <x:c r="W15" s="20" t="n">
        <x:v>450</x:v>
      </x:c>
      <x:c r="X15" s="20" t="n">
        <x:v>225</x:v>
      </x:c>
      <x:c r="Y15" s="20" t="n">
        <x:v>450</x:v>
      </x:c>
      <x:c r="Z15" s="20" t="n">
        <x:v>2000</x:v>
      </x:c>
      <x:c r="AA15" s="20" t="n">
        <x:v>6000</x:v>
      </x:c>
      <x:c r="AB15" s="12" t="str">
        <x:v>Registrado no histórico</x:v>
      </x:c>
      <x:c r="AC15" s="16" t="n">
        <x:v>8</x:v>
      </x:c>
      <x:c r="AD15" s="12" t="str">
        <x:v>B+</x:v>
      </x:c>
      <x:c r="AE15" s="12" t="str">
        <x:v>Baixa</x:v>
      </x:c>
      <x:c r="AF15" s="12" t="str">
        <x:v>Brincos, anel, pingentes</x:v>
      </x:c>
      <x:c r="AG15" s="12" t="str">
        <x:v>Brincos, anel, pingentes</x:v>
      </x:c>
      <x:c r="AH15" s="12" t="str">
        <x:v>Coleção</x:v>
      </x:c>
      <x:c r="AI15" s="12" t="str"/>
      <x:c r="AJ15" s="12" t="str"/>
      <x:c r="AK15" s="12" t="str"/>
      <x:c r="AL15" s="12" t="str"/>
      <x:c r="AM15" s="12" t="str">
        <x:v>Não informado</x:v>
      </x:c>
      <x:c r="AN15" s="12" t="str"/>
      <x:c r="AO15" s="12" t="str">
        <x:v>2026-07-01</x:v>
      </x:c>
      <x:c r="AP15" s="12" t="str">
        <x:v>2026-07-19</x:v>
      </x:c>
      <x:c r="AQ15" s="12" t="str">
        <x:v>Média</x:v>
      </x:c>
      <x:c r="AR15" s="12" t="str">
        <x:v>Inventário mestre completo atualizado em 2026-07-01</x:v>
      </x:c>
      <x:c r="AS15" s="12" t="str">
        <x:v>Confirmar peso</x:v>
      </x:c>
      <x:c r="AT15" s="12" t="str"/>
    </x:row>
    <x:row r="16">
      <x:c r="A16" s="12" t="str">
        <x:v>DG-OF-001</x:v>
      </x:c>
      <x:c r="B16" s="12" t="str"/>
      <x:c r="C16" s="12" t="str">
        <x:v>Opal Collection</x:v>
      </x:c>
      <x:c r="D16" s="12" t="str">
        <x:v>Opalas</x:v>
      </x:c>
      <x:c r="E16" s="12" t="str">
        <x:v>Opala</x:v>
      </x:c>
      <x:c r="F16" s="12" t="str">
        <x:v>Opala de Fogo</x:v>
      </x:c>
      <x:c r="G16" s="12" t="str">
        <x:v>Gema individual</x:v>
      </x:c>
      <x:c r="H16" s="18" t="n">
        <x:v>1</x:v>
      </x:c>
      <x:c r="I16" s="12" t="str">
        <x:v>Gota</x:v>
      </x:c>
      <x:c r="J16" s="12" t="str">
        <x:v>10 x 5</x:v>
      </x:c>
      <x:c r="K16" s="14" t="n">
        <x:v>1.3</x:v>
      </x:c>
      <x:c r="L16" s="12" t="str">
        <x:v>Não</x:v>
      </x:c>
      <x:c r="M16" s="12" t="str">
        <x:v>Estimativa por medidas</x:v>
      </x:c>
      <x:c r="N16" s="12" t="str">
        <x:v>Laranja claro / Pêssego</x:v>
      </x:c>
      <x:c r="O16" s="12" t="str">
        <x:v>Translúcida</x:v>
      </x:c>
      <x:c r="P16" s="12" t="str"/>
      <x:c r="Q16" s="12" t="str">
        <x:v>Não avaliado / não informado</x:v>
      </x:c>
      <x:c r="R16" s="12" t="str">
        <x:v>Não</x:v>
      </x:c>
      <x:c r="S16" s="12" t="str"/>
      <x:c r="T16" s="12" t="str"/>
      <x:c r="U16" s="20"/>
      <x:c r="V16" s="20" t="n">
        <x:v>600</x:v>
      </x:c>
      <x:c r="W16" s="20" t="n">
        <x:v>900</x:v>
      </x:c>
      <x:c r="X16" s="20" t="n">
        <x:v>900</x:v>
      </x:c>
      <x:c r="Y16" s="20" t="n">
        <x:v>1600</x:v>
      </x:c>
      <x:c r="Z16" s="20" t="n">
        <x:v>2500</x:v>
      </x:c>
      <x:c r="AA16" s="20" t="n">
        <x:v>6000</x:v>
      </x:c>
      <x:c r="AB16" s="12" t="str">
        <x:v>Registrado no histórico</x:v>
      </x:c>
      <x:c r="AC16" s="16" t="n">
        <x:v>7.5</x:v>
      </x:c>
      <x:c r="AD16" s="12" t="str">
        <x:v>B+</x:v>
      </x:c>
      <x:c r="AE16" s="12" t="str">
        <x:v>Baixa</x:v>
      </x:c>
      <x:c r="AF16" s="12" t="str">
        <x:v>Pingente delicado em ouro amarelo</x:v>
      </x:c>
      <x:c r="AG16" s="12" t="str">
        <x:v>Pingente delicado em ouro amarelo</x:v>
      </x:c>
      <x:c r="AH16" s="12" t="str">
        <x:v>Coleção</x:v>
      </x:c>
      <x:c r="AI16" s="12" t="str"/>
      <x:c r="AJ16" s="12" t="str"/>
      <x:c r="AK16" s="12" t="str"/>
      <x:c r="AL16" s="12" t="str"/>
      <x:c r="AM16" s="12" t="str">
        <x:v>Não informado</x:v>
      </x:c>
      <x:c r="AN16" s="12" t="str"/>
      <x:c r="AO16" s="12" t="str">
        <x:v>2026-07-01</x:v>
      </x:c>
      <x:c r="AP16" s="12" t="str">
        <x:v>2026-07-19</x:v>
      </x:c>
      <x:c r="AQ16" s="12" t="str">
        <x:v>Média</x:v>
      </x:c>
      <x:c r="AR16" s="12" t="str">
        <x:v>Inventário mestre completo atualizado em 2026-07-01</x:v>
      </x:c>
      <x:c r="AS16" s="12" t="str">
        <x:v>Confirmar peso</x:v>
      </x:c>
      <x:c r="AT16" s="12" t="str">
        <x:v>Opala sensível; evitar anel de uso diário.</x:v>
      </x:c>
    </x:row>
    <x:row r="17">
      <x:c r="A17" s="12" t="str">
        <x:v>DG-PD-001</x:v>
      </x:c>
      <x:c r="B17" s="12" t="str"/>
      <x:c r="C17" s="12" t="str">
        <x:v>Peridot Collection</x:v>
      </x:c>
      <x:c r="D17" s="12" t="str">
        <x:v>Peridotos</x:v>
      </x:c>
      <x:c r="E17" s="12" t="str">
        <x:v>Olivina</x:v>
      </x:c>
      <x:c r="F17" s="12" t="str">
        <x:v>Peridoto</x:v>
      </x:c>
      <x:c r="G17" s="12" t="str">
        <x:v>Lote</x:v>
      </x:c>
      <x:c r="H17" s="18" t="n">
        <x:v>6</x:v>
      </x:c>
      <x:c r="I17" s="12" t="str">
        <x:v>2 redondas + 4 ovais</x:v>
      </x:c>
      <x:c r="J17" s="12" t="str">
        <x:v>2x 4x4; 3x 5x4; 1x 5x3.5</x:v>
      </x:c>
      <x:c r="K17" s="14" t="n">
        <x:v>2.16</x:v>
      </x:c>
      <x:c r="L17" s="12" t="str">
        <x:v>Não</x:v>
      </x:c>
      <x:c r="M17" s="12" t="str">
        <x:v>Estimativa por medidas</x:v>
      </x:c>
      <x:c r="N17" s="12" t="str">
        <x:v>Verde-limão intenso</x:v>
      </x:c>
      <x:c r="O17" s="12" t="str">
        <x:v>Transparente</x:v>
      </x:c>
      <x:c r="P17" s="12" t="str"/>
      <x:c r="Q17" s="12" t="str">
        <x:v>Não avaliado / não informado</x:v>
      </x:c>
      <x:c r="R17" s="12" t="str">
        <x:v>Não</x:v>
      </x:c>
      <x:c r="S17" s="12" t="str"/>
      <x:c r="T17" s="12" t="str"/>
      <x:c r="U17" s="20" t="n">
        <x:v>100</x:v>
      </x:c>
      <x:c r="V17" s="20" t="n">
        <x:v>900</x:v>
      </x:c>
      <x:c r="W17" s="20" t="n">
        <x:v>1500</x:v>
      </x:c>
      <x:c r="X17" s="20" t="n">
        <x:v>900</x:v>
      </x:c>
      <x:c r="Y17" s="20" t="n">
        <x:v>1500</x:v>
      </x:c>
      <x:c r="Z17" s="20" t="n">
        <x:v>3500</x:v>
      </x:c>
      <x:c r="AA17" s="20" t="n">
        <x:v>7000</x:v>
      </x:c>
      <x:c r="AB17" s="12" t="str">
        <x:v>Registrado no histórico</x:v>
      </x:c>
      <x:c r="AC17" s="16" t="n">
        <x:v>8.2</x:v>
      </x:c>
      <x:c r="AD17" s="12" t="str">
        <x:v>B+</x:v>
      </x:c>
      <x:c r="AE17" s="12" t="str">
        <x:v>Baixa</x:v>
      </x:c>
      <x:c r="AF17" s="12" t="str">
        <x:v>Conjunto Primavera: brincos, anel, pingente</x:v>
      </x:c>
      <x:c r="AG17" s="12" t="str">
        <x:v>Conjunto Primavera: brincos, anel, pingente</x:v>
      </x:c>
      <x:c r="AH17" s="12" t="str">
        <x:v>Coleção</x:v>
      </x:c>
      <x:c r="AI17" s="12" t="str"/>
      <x:c r="AJ17" s="12" t="str"/>
      <x:c r="AK17" s="12" t="str"/>
      <x:c r="AL17" s="12" t="str"/>
      <x:c r="AM17" s="12" t="str">
        <x:v>Não informado</x:v>
      </x:c>
      <x:c r="AN17" s="12" t="str"/>
      <x:c r="AO17" s="12" t="str">
        <x:v>2026-07-01</x:v>
      </x:c>
      <x:c r="AP17" s="12" t="str">
        <x:v>2026-07-19</x:v>
      </x:c>
      <x:c r="AQ17" s="12" t="str">
        <x:v>Média</x:v>
      </x:c>
      <x:c r="AR17" s="12" t="str">
        <x:v>Inventário mestre completo atualizado em 2026-07-01</x:v>
      </x:c>
      <x:c r="AS17" s="12" t="str">
        <x:v>Confirmar peso</x:v>
      </x:c>
      <x:c r="AT17" s="12" t="str">
        <x:v>Valor pago máximo R$100 pelo lote.</x:v>
      </x:c>
    </x:row>
    <x:row r="18">
      <x:c r="A18" s="12" t="str">
        <x:v>DG-UK-001</x:v>
      </x:c>
      <x:c r="B18" s="12" t="str"/>
      <x:c r="C18" s="12" t="str">
        <x:v>Em Identificação</x:v>
      </x:c>
      <x:c r="D18" s="12" t="str">
        <x:v>Pedras pendentes</x:v>
      </x:c>
      <x:c r="E18" s="12" t="str">
        <x:v>Provável Quartzo/Topázio/Goshenita</x:v>
      </x:c>
      <x:c r="F18" s="12" t="str">
        <x:v>Incolor</x:v>
      </x:c>
      <x:c r="G18" s="12" t="str">
        <x:v>Gema individual</x:v>
      </x:c>
      <x:c r="H18" s="18" t="n">
        <x:v>1</x:v>
      </x:c>
      <x:c r="I18" s="12" t="str">
        <x:v>Oval</x:v>
      </x:c>
      <x:c r="J18" s="12" t="str">
        <x:v>10 x 8</x:v>
      </x:c>
      <x:c r="K18" s="14" t="n">
        <x:v>0</x:v>
      </x:c>
      <x:c r="L18" s="12" t="str">
        <x:v>Pendente</x:v>
      </x:c>
      <x:c r="M18" s="12" t="str">
        <x:v>Pendente</x:v>
      </x:c>
      <x:c r="N18" s="12" t="str">
        <x:v>Incolor / transparente</x:v>
      </x:c>
      <x:c r="O18" s="12" t="str">
        <x:v>Transparente</x:v>
      </x:c>
      <x:c r="P18" s="12" t="str">
        <x:v>Bahia</x:v>
      </x:c>
      <x:c r="Q18" s="12" t="str">
        <x:v>Não avaliado / não informado</x:v>
      </x:c>
      <x:c r="R18" s="12" t="str">
        <x:v>Não</x:v>
      </x:c>
      <x:c r="S18" s="12" t="str"/>
      <x:c r="T18" s="12" t="str"/>
      <x:c r="U18" s="20"/>
      <x:c r="V18" s="20" t="n">
        <x:v>50</x:v>
      </x:c>
      <x:c r="W18" s="20" t="n">
        <x:v>500</x:v>
      </x:c>
      <x:c r="X18" s="20" t="n">
        <x:v>50</x:v>
      </x:c>
      <x:c r="Y18" s="20" t="n">
        <x:v>500</x:v>
      </x:c>
      <x:c r="Z18" s="20" t="n">
        <x:v>500</x:v>
      </x:c>
      <x:c r="AA18" s="20" t="n">
        <x:v>1500</x:v>
      </x:c>
      <x:c r="AB18" s="12" t="str">
        <x:v>Registrado no histórico</x:v>
      </x:c>
      <x:c r="AC18" s="16" t="n">
        <x:v>5.5</x:v>
      </x:c>
      <x:c r="AD18" s="12" t="str">
        <x:v>Pendente</x:v>
      </x:c>
      <x:c r="AE18" s="12" t="str">
        <x:v>Baixa</x:v>
      </x:c>
      <x:c r="AF18" s="12" t="str">
        <x:v>Aguardar identificação</x:v>
      </x:c>
      <x:c r="AG18" s="12" t="str">
        <x:v>Aguardar identificação</x:v>
      </x:c>
      <x:c r="AH18" s="12" t="str">
        <x:v>Coleção</x:v>
      </x:c>
      <x:c r="AI18" s="12" t="str"/>
      <x:c r="AJ18" s="12" t="str"/>
      <x:c r="AK18" s="12" t="str"/>
      <x:c r="AL18" s="12" t="str"/>
      <x:c r="AM18" s="12" t="str">
        <x:v>Não informado</x:v>
      </x:c>
      <x:c r="AN18" s="12" t="str"/>
      <x:c r="AO18" s="12" t="str">
        <x:v>2026-07-01</x:v>
      </x:c>
      <x:c r="AP18" s="12" t="str">
        <x:v>2026-07-19</x:v>
      </x:c>
      <x:c r="AQ18" s="12" t="str">
        <x:v>Pendente</x:v>
      </x:c>
      <x:c r="AR18" s="12" t="str">
        <x:v>Inventário mestre completo atualizado em 2026-07-01</x:v>
      </x:c>
      <x:c r="AS18" s="12" t="str">
        <x:v>Confirmar peso; Confirmar identificação em laboratório</x:v>
      </x:c>
      <x:c r="AT18" s="12" t="str"/>
    </x:row>
  </x:sheetData>
  <x:conditionalFormatting sqref="K2:K18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{506ECD2D-AFF2-6AE3-EFB4-FE7774B76376}</x14:id>
        </x:ext>
      </x:extLst>
    </x:cfRule>
  </x:conditionalFormatting>
  <x:conditionalFormatting sqref="AC2:AC18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18">
    <x:cfRule type="expression" dxfId="10" priority="3">
      <x:formula>AB2="Pendente de precificação individual"</x:formula>
    </x:cfRule>
  </x:conditionalFormatting>
  <x:conditionalFormatting sqref="AS2:AS18">
    <x:cfRule type="expression" dxfId="11" priority="4">
      <x:formula>LEN(AS2)&gt;0</x:formula>
    </x:cfRule>
  </x:conditionalFormatting>
  <x:dataValidations count="2">
    <x:dataValidation type="list" sqref="AH2:AH18">
      <x:formula1>"Coleção,Estoque,Estoque para produção,Em identificação,Em certificação,Em joia,Vendido"</x:formula1>
    </x:dataValidation>
    <x:dataValidation type="list" sqref="AE2:AE18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edd48b8eed444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06ECD2D-AFF2-6AE3-EFB4-FE7774B76376}">
            <x14:dataBar gradient="1">
              <x14:cfvo type="min"/>
              <x14:cfvo type="max"/>
              <x14:fillColor rgb="FF4C8A72"/>
            </x14:dataBar>
          </x14:cfRule>
          <xm:sqref>K2:K18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DG-EM-019</x:v>
      </x:c>
      <x:c r="B2" s="12" t="str"/>
      <x:c r="C2" s="12" t="str">
        <x:v>Emerald Collection</x:v>
      </x:c>
      <x:c r="D2" s="12" t="str">
        <x:v>Esmeraldas</x:v>
      </x:c>
      <x:c r="E2" s="12" t="str">
        <x:v>Berilo</x:v>
      </x:c>
      <x:c r="F2" s="12" t="str">
        <x:v>Esmeralda</x:v>
      </x:c>
      <x:c r="G2" s="12" t="str">
        <x:v>Lote</x:v>
      </x:c>
      <x:c r="H2" s="18" t="n">
        <x:v>13</x:v>
      </x:c>
      <x:c r="I2" s="12" t="str">
        <x:v>Formatos variados / melee</x:v>
      </x:c>
      <x:c r="J2" s="12" t="str">
        <x:v>2 a 6 mm variados</x:v>
      </x:c>
      <x:c r="K2" s="14" t="n">
        <x:v>4.56</x:v>
      </x:c>
      <x:c r="L2" s="12" t="str">
        <x:v>Sim</x:v>
      </x:c>
      <x:c r="M2" s="12" t="str">
        <x:v>Balança / informado</x:v>
      </x:c>
      <x:c r="N2" s="12" t="str">
        <x:v>Verdes variados</x:v>
      </x:c>
      <x:c r="O2" s="12" t="str">
        <x:v>Semi-transparente a translúcida</x:v>
      </x:c>
      <x:c r="P2" s="12" t="str"/>
      <x:c r="Q2" s="12" t="str">
        <x:v>Não avaliado / não informado</x:v>
      </x:c>
      <x:c r="R2" s="12" t="str">
        <x:v>Não</x:v>
      </x:c>
      <x:c r="S2" s="12" t="str"/>
      <x:c r="T2" s="12" t="str"/>
      <x:c r="U2" s="20"/>
      <x:c r="V2" s="20"/>
      <x:c r="W2" s="20"/>
      <x:c r="X2" s="20"/>
      <x:c r="Y2" s="20"/>
      <x:c r="Z2" s="20"/>
      <x:c r="AA2" s="20"/>
      <x:c r="AB2" s="12" t="str">
        <x:v>Pendente de precificação individual</x:v>
      </x:c>
      <x:c r="AC2" s="16" t="n">
        <x:v>8.1</x:v>
      </x:c>
      <x:c r="AD2" s="12" t="str">
        <x:v>A-</x:v>
      </x:c>
      <x:c r="AE2" s="12" t="str">
        <x:v>A definir</x:v>
      </x:c>
      <x:c r="AF2" s="12" t="str">
        <x:v>Halo, pavê, riviera, crucifixos</x:v>
      </x:c>
      <x:c r="AG2" s="12" t="str">
        <x:v>Halo, pavê, riviera, crucifixos</x:v>
      </x:c>
      <x:c r="AH2" s="12" t="str">
        <x:v>Coleção</x:v>
      </x:c>
      <x:c r="AI2" s="12" t="str"/>
      <x:c r="AJ2" s="12" t="str"/>
      <x:c r="AK2" s="12" t="str"/>
      <x:c r="AL2" s="12" t="str"/>
      <x:c r="AM2" s="12" t="str">
        <x:v>Não informado</x:v>
      </x:c>
      <x:c r="AN2" s="12" t="str"/>
      <x:c r="AO2" s="12" t="str">
        <x:v>2026-07-01</x:v>
      </x:c>
      <x:c r="AP2" s="12" t="str">
        <x:v>2026-07-19</x:v>
      </x:c>
      <x:c r="AQ2" s="12" t="str">
        <x:v>Alta</x:v>
      </x:c>
      <x:c r="AR2" s="12" t="str">
        <x:v>Inventário mestre completo atualizado em 2026-07-01</x:v>
      </x:c>
      <x:c r="AS2" s="12" t="str">
        <x:v>Precificação individual pendente</x:v>
      </x:c>
      <x:c r="AT2" s="12" t="str">
        <x:v>Avaliação visual; tratamentos não avaliados; confirmar naturalidade/tratamento em laboratório. Lote de 13 pedras; peso médio 0,351 ct.</x:v>
      </x:c>
    </x:row>
    <x:row r="3">
      <x:c r="A3" s="12" t="str">
        <x:v>DG-EM-082</x:v>
      </x:c>
      <x:c r="B3" s="12" t="str"/>
      <x:c r="C3" s="12" t="str">
        <x:v>Emerald Collection</x:v>
      </x:c>
      <x:c r="D3" s="12" t="str">
        <x:v>Esmeraldas</x:v>
      </x:c>
      <x:c r="E3" s="12" t="str">
        <x:v>Berilo</x:v>
      </x:c>
      <x:c r="F3" s="12" t="str">
        <x:v>Esmeralda</x:v>
      </x:c>
      <x:c r="G3" s="12" t="str">
        <x:v>Lote</x:v>
      </x:c>
      <x:c r="H3" s="18"/>
      <x:c r="I3" s="12" t="str">
        <x:v>Cabochões e lapidações mistas</x:v>
      </x:c>
      <x:c r="J3" s="12" t="str">
        <x:v>Diversas</x:v>
      </x:c>
      <x:c r="K3" s="14" t="n">
        <x:v>20.96</x:v>
      </x:c>
      <x:c r="L3" s="12" t="str">
        <x:v>Sim</x:v>
      </x:c>
      <x:c r="M3" s="12" t="str">
        <x:v>Balança / informado</x:v>
      </x:c>
      <x:c r="N3" s="12" t="str">
        <x:v>Verdes variados</x:v>
      </x:c>
      <x:c r="O3" s="12" t="str">
        <x:v>Semi-transparente a translúcida</x:v>
      </x:c>
      <x:c r="P3" s="12" t="str"/>
      <x:c r="Q3" s="12" t="str">
        <x:v>Não avaliado / não informado</x:v>
      </x:c>
      <x:c r="R3" s="12" t="str">
        <x:v>Não</x:v>
      </x:c>
      <x:c r="S3" s="12" t="str"/>
      <x:c r="T3" s="12" t="str"/>
      <x:c r="U3" s="20"/>
      <x:c r="V3" s="20"/>
      <x:c r="W3" s="20"/>
      <x:c r="X3" s="20"/>
      <x:c r="Y3" s="20"/>
      <x:c r="Z3" s="20"/>
      <x:c r="AA3" s="20"/>
      <x:c r="AB3" s="12" t="str">
        <x:v>Pendente de precificação individual</x:v>
      </x:c>
      <x:c r="AC3" s="16" t="n">
        <x:v>7</x:v>
      </x:c>
      <x:c r="AD3" s="12" t="str">
        <x:v>Lote Comercial</x:v>
      </x:c>
      <x:c r="AE3" s="12" t="str">
        <x:v>A definir</x:v>
      </x:c>
      <x:c r="AF3" s="12" t="str">
        <x:v>Produção de joias em prata / linha acessível</x:v>
      </x:c>
      <x:c r="AG3" s="12" t="str">
        <x:v>Produção de joias em prata / linha acessível</x:v>
      </x:c>
      <x:c r="AH3" s="12" t="str">
        <x:v>Estoque para produção</x:v>
      </x:c>
      <x:c r="AI3" s="12" t="str"/>
      <x:c r="AJ3" s="12" t="str"/>
      <x:c r="AK3" s="12" t="str"/>
      <x:c r="AL3" s="12" t="str"/>
      <x:c r="AM3" s="12" t="str">
        <x:v>Não informado</x:v>
      </x:c>
      <x:c r="AN3" s="12" t="str"/>
      <x:c r="AO3" s="12" t="str">
        <x:v>2026-07-01</x:v>
      </x:c>
      <x:c r="AP3" s="12" t="str">
        <x:v>2026-07-19</x:v>
      </x:c>
      <x:c r="AQ3" s="12" t="str">
        <x:v>Alta</x:v>
      </x:c>
      <x:c r="AR3" s="12" t="str">
        <x:v>Inventário mestre completo atualizado em 2026-07-01</x:v>
      </x:c>
      <x:c r="AS3" s="12" t="str">
        <x:v>Precificação individual pendente</x:v>
      </x:c>
      <x:c r="AT3" s="12" t="str">
        <x:v>Avaliação visual; tratamentos não avaliados; confirmar naturalidade/tratamento em laboratório. Lote único de 20,960 ct para joias em prata/linha acessível; futuras peças devem ser registradas como DG-J-xxx.</x:v>
      </x:c>
    </x:row>
    <x:row r="4">
      <x:c r="A4" s="12" t="str">
        <x:v>DG-PB-0003</x:v>
      </x:c>
      <x:c r="B4" s="12" t="str"/>
      <x:c r="C4" s="12" t="str">
        <x:v>Paraíba Collection</x:v>
      </x:c>
      <x:c r="D4" s="12" t="str">
        <x:v>Turmalinas</x:v>
      </x:c>
      <x:c r="E4" s="12" t="str">
        <x:v>Elbaíta</x:v>
      </x:c>
      <x:c r="F4" s="12" t="str">
        <x:v>Turmalina Paraíba</x:v>
      </x:c>
      <x:c r="G4" s="12" t="str">
        <x:v>Lote</x:v>
      </x:c>
      <x:c r="H4" s="18" t="n">
        <x:v>6</x:v>
      </x:c>
      <x:c r="I4" s="12" t="str">
        <x:v>Navete / Marquise</x:v>
      </x:c>
      <x:c r="J4" s="12" t="str">
        <x:v>1.5x2.5 a 1.7x3.8</x:v>
      </x:c>
      <x:c r="K4" s="14" t="n">
        <x:v>0.155</x:v>
      </x:c>
      <x:c r="L4" s="12" t="str">
        <x:v>Sim</x:v>
      </x:c>
      <x:c r="M4" s="12" t="str">
        <x:v>Fornecedor</x:v>
      </x:c>
      <x:c r="N4" s="12" t="str">
        <x:v>Azul neon</x:v>
      </x:c>
      <x:c r="O4" s="12" t="str">
        <x:v>Transparente a translúcida</x:v>
      </x:c>
      <x:c r="P4" s="12" t="str">
        <x:v>Brasil</x:v>
      </x:c>
      <x:c r="Q4" s="12" t="str">
        <x:v>Não avaliado / não informado</x:v>
      </x:c>
      <x:c r="R4" s="12" t="str">
        <x:v>Não</x:v>
      </x:c>
      <x:c r="S4" s="12" t="str"/>
      <x:c r="T4" s="12" t="str"/>
      <x:c r="U4" s="20" t="n">
        <x:v>1500</x:v>
      </x:c>
      <x:c r="V4" s="20" t="n">
        <x:v>4000</x:v>
      </x:c>
      <x:c r="W4" s="20" t="n">
        <x:v>12000</x:v>
      </x:c>
      <x:c r="X4" s="20" t="n">
        <x:v>4000</x:v>
      </x:c>
      <x:c r="Y4" s="20" t="n">
        <x:v>12000</x:v>
      </x:c>
      <x:c r="Z4" s="20" t="n">
        <x:v>8000</x:v>
      </x:c>
      <x:c r="AA4" s="20" t="n">
        <x:v>15000</x:v>
      </x:c>
      <x:c r="AB4" s="12" t="str">
        <x:v>Registrado no histórico</x:v>
      </x:c>
      <x:c r="AC4" s="16" t="n">
        <x:v>8.4</x:v>
      </x:c>
      <x:c r="AD4" s="12" t="str">
        <x:v>A-</x:v>
      </x:c>
      <x:c r="AE4" s="12" t="str">
        <x:v>Baixa/Média</x:v>
      </x:c>
      <x:c r="AF4" s="12" t="str">
        <x:v>Detalhes, halo, flor, folha, cruz, constelação</x:v>
      </x:c>
      <x:c r="AG4" s="12" t="str">
        <x:v>Detalhes, halo, flor, folha, cruz, constelação</x:v>
      </x:c>
      <x:c r="AH4" s="12" t="str">
        <x:v>Coleção</x:v>
      </x:c>
      <x:c r="AI4" s="12" t="str"/>
      <x:c r="AJ4" s="12" t="str"/>
      <x:c r="AK4" s="12" t="str"/>
      <x:c r="AL4" s="12" t="str"/>
      <x:c r="AM4" s="12" t="str">
        <x:v>Não informado</x:v>
      </x:c>
      <x:c r="AN4" s="12" t="str"/>
      <x:c r="AO4" s="12" t="str">
        <x:v>2026-07-01</x:v>
      </x:c>
      <x:c r="AP4" s="12" t="str">
        <x:v>2026-07-19</x:v>
      </x:c>
      <x:c r="AQ4" s="12" t="str">
        <x:v>Alta</x:v>
      </x:c>
      <x:c r="AR4" s="12" t="str">
        <x:v>Inventário mestre completo atualizado em 2026-07-01</x:v>
      </x:c>
      <x:c r="AS4" s="12" t="str"/>
      <x:c r="AT4" s="12" t="str">
        <x:v>Originalmente 7 pedras; atualmente 6.</x:v>
      </x:c>
    </x:row>
    <x:row r="5">
      <x:c r="A5" s="12" t="str">
        <x:v>DG-RB-009</x:v>
      </x:c>
      <x:c r="B5" s="12" t="str"/>
      <x:c r="C5" s="12" t="str">
        <x:v>Ruby/Corundum Collection</x:v>
      </x:c>
      <x:c r="D5" s="12" t="str">
        <x:v>Coríndons</x:v>
      </x:c>
      <x:c r="E5" s="12" t="str">
        <x:v>Coríndon</x:v>
      </x:c>
      <x:c r="F5" s="12" t="str">
        <x:v>Rubi brasileiro provisório</x:v>
      </x:c>
      <x:c r="G5" s="12" t="str">
        <x:v>Lote</x:v>
      </x:c>
      <x:c r="H5" s="18" t="n">
        <x:v>10</x:v>
      </x:c>
      <x:c r="I5" s="12" t="str">
        <x:v>Gotas/Navetes</x:v>
      </x:c>
      <x:c r="J5" s="12" t="str">
        <x:v>6 maiores 10–12x4–5x2–3; 4 menores 7–8x3–4x2–3</x:v>
      </x:c>
      <x:c r="K5" s="14" t="n">
        <x:v>25.84</x:v>
      </x:c>
      <x:c r="L5" s="12" t="str">
        <x:v>Sim</x:v>
      </x:c>
      <x:c r="M5" s="12" t="str">
        <x:v>Balança / informado</x:v>
      </x:c>
      <x:c r="N5" s="12" t="str">
        <x:v>Rosa avermelhado uniforme</x:v>
      </x:c>
      <x:c r="O5" s="12" t="str">
        <x:v>Translúcida</x:v>
      </x:c>
      <x:c r="P5" s="12" t="str">
        <x:v>Bahia</x:v>
      </x:c>
      <x:c r="Q5" s="12" t="str">
        <x:v>Não avaliado / não informado</x:v>
      </x:c>
      <x:c r="R5" s="12" t="str">
        <x:v>Não</x:v>
      </x:c>
      <x:c r="S5" s="12" t="str"/>
      <x:c r="T5" s="12" t="str"/>
      <x:c r="U5" s="20"/>
      <x:c r="V5" s="20" t="n">
        <x:v>1500</x:v>
      </x:c>
      <x:c r="W5" s="20" t="n">
        <x:v>2800</x:v>
      </x:c>
      <x:c r="X5" s="20" t="n">
        <x:v>3000</x:v>
      </x:c>
      <x:c r="Y5" s="20" t="n">
        <x:v>5500</x:v>
      </x:c>
      <x:c r="Z5" s="20" t="n">
        <x:v>8000</x:v>
      </x:c>
      <x:c r="AA5" s="20" t="n">
        <x:v>18000</x:v>
      </x:c>
      <x:c r="AB5" s="12" t="str">
        <x:v>Registrado no histórico</x:v>
      </x:c>
      <x:c r="AC5" s="16" t="n">
        <x:v>7.4</x:v>
      </x:c>
      <x:c r="AD5" s="12" t="str">
        <x:v>B</x:v>
      </x:c>
      <x:c r="AE5" s="12" t="str">
        <x:v>Média</x:v>
      </x:c>
      <x:c r="AF5" s="12" t="str">
        <x:v>Brincos, pingentes, riviera, colares</x:v>
      </x:c>
      <x:c r="AG5" s="12" t="str">
        <x:v>Brincos, pingentes, riviera, colares</x:v>
      </x:c>
      <x:c r="AH5" s="12" t="str">
        <x:v>Coleção</x:v>
      </x:c>
      <x:c r="AI5" s="12" t="str"/>
      <x:c r="AJ5" s="12" t="str"/>
      <x:c r="AK5" s="12" t="str"/>
      <x:c r="AL5" s="12" t="str"/>
      <x:c r="AM5" s="12" t="str">
        <x:v>Não informado</x:v>
      </x:c>
      <x:c r="AN5" s="12" t="str"/>
      <x:c r="AO5" s="12" t="str">
        <x:v>2026-07-01</x:v>
      </x:c>
      <x:c r="AP5" s="12" t="str">
        <x:v>2026-07-19</x:v>
      </x:c>
      <x:c r="AQ5" s="12" t="str">
        <x:v>Alta</x:v>
      </x:c>
      <x:c r="AR5" s="12" t="str">
        <x:v>Inventário mestre completo atualizado em 2026-07-01</x:v>
      </x:c>
      <x:c r="AS5" s="12" t="str">
        <x:v>Confirmar identificação em laboratório; Avaliar certificação</x:v>
      </x:c>
      <x:c r="AT5" s="12" t="str">
        <x:v>Lote calibrado; parte do lote de R$1.100. Peso oficial atualizado: 25,840 ct total do lote com 10 pedras.</x:v>
      </x:c>
    </x:row>
    <x:row r="6">
      <x:c r="A6" s="12" t="str">
        <x:v>DG-RB-010</x:v>
      </x:c>
      <x:c r="B6" s="12" t="str"/>
      <x:c r="C6" s="12" t="str">
        <x:v>Ruby/Corundum Collection</x:v>
      </x:c>
      <x:c r="D6" s="12" t="str">
        <x:v>Coríndons</x:v>
      </x:c>
      <x:c r="E6" s="12" t="str">
        <x:v>Coríndon</x:v>
      </x:c>
      <x:c r="F6" s="12" t="str">
        <x:v>Rubi brasileiro provisório</x:v>
      </x:c>
      <x:c r="G6" s="12" t="str">
        <x:v>Lote</x:v>
      </x:c>
      <x:c r="H6" s="18" t="n">
        <x:v>7</x:v>
      </x:c>
      <x:c r="I6" s="12" t="str">
        <x:v>Quadrados, gotas e oval</x:v>
      </x:c>
      <x:c r="J6" s="12" t="str">
        <x:v>Maior 10x10x4; menores 5x5x3; inferiores 7–12x4–5x3–4</x:v>
      </x:c>
      <x:c r="K6" s="14" t="n">
        <x:v>19</x:v>
      </x:c>
      <x:c r="L6" s="12" t="str">
        <x:v>Sim</x:v>
      </x:c>
      <x:c r="M6" s="12" t="str">
        <x:v>Balança / informado</x:v>
      </x:c>
      <x:c r="N6" s="12" t="str">
        <x:v>Rosa médio / avermelhado</x:v>
      </x:c>
      <x:c r="O6" s="12" t="str">
        <x:v>Translúcida</x:v>
      </x:c>
      <x:c r="P6" s="12" t="str">
        <x:v>Bahia</x:v>
      </x:c>
      <x:c r="Q6" s="12" t="str">
        <x:v>Não avaliado / não informado</x:v>
      </x:c>
      <x:c r="R6" s="12" t="str">
        <x:v>Não</x:v>
      </x:c>
      <x:c r="S6" s="12" t="str"/>
      <x:c r="T6" s="12" t="str"/>
      <x:c r="U6" s="20"/>
      <x:c r="V6" s="20" t="n">
        <x:v>2000</x:v>
      </x:c>
      <x:c r="W6" s="20" t="n">
        <x:v>3800</x:v>
      </x:c>
      <x:c r="X6" s="20" t="n">
        <x:v>4000</x:v>
      </x:c>
      <x:c r="Y6" s="20" t="n">
        <x:v>7000</x:v>
      </x:c>
      <x:c r="Z6" s="20" t="n">
        <x:v>10000</x:v>
      </x:c>
      <x:c r="AA6" s="20" t="n">
        <x:v>22000</x:v>
      </x:c>
      <x:c r="AB6" s="12" t="str">
        <x:v>Registrado no histórico</x:v>
      </x:c>
      <x:c r="AC6" s="16" t="n">
        <x:v>7.8</x:v>
      </x:c>
      <x:c r="AD6" s="12" t="str">
        <x:v>B+</x:v>
      </x:c>
      <x:c r="AE6" s="12" t="str">
        <x:v>Média</x:v>
      </x:c>
      <x:c r="AF6" s="12" t="str">
        <x:v>Anel com quadrada maior, brincos com gotas</x:v>
      </x:c>
      <x:c r="AG6" s="12" t="str">
        <x:v>Anel com quadrada maior, brincos com gotas</x:v>
      </x:c>
      <x:c r="AH6" s="12" t="str">
        <x:v>Coleção</x:v>
      </x:c>
      <x:c r="AI6" s="12" t="str"/>
      <x:c r="AJ6" s="12" t="str"/>
      <x:c r="AK6" s="12" t="str"/>
      <x:c r="AL6" s="12" t="str"/>
      <x:c r="AM6" s="12" t="str">
        <x:v>Não informado</x:v>
      </x:c>
      <x:c r="AN6" s="12" t="str"/>
      <x:c r="AO6" s="12" t="str">
        <x:v>2026-07-01</x:v>
      </x:c>
      <x:c r="AP6" s="12" t="str">
        <x:v>2026-07-19</x:v>
      </x:c>
      <x:c r="AQ6" s="12" t="str">
        <x:v>Alta</x:v>
      </x:c>
      <x:c r="AR6" s="12" t="str">
        <x:v>Inventário mestre completo atualizado em 2026-07-01</x:v>
      </x:c>
      <x:c r="AS6" s="12" t="str">
        <x:v>Confirmar identificação em laboratório; Avaliar certificação</x:v>
      </x:c>
      <x:c r="AT6" s="12" t="str">
        <x:v>Lote diverso; parte do lote de R$1.100. Peso oficial atualizado: 19,000 ct total do lote com 7 pedras.</x:v>
      </x:c>
    </x:row>
    <x:row r="7">
      <x:c r="A7" s="12" t="str">
        <x:v>DG-RB-011</x:v>
      </x:c>
      <x:c r="B7" s="12" t="str"/>
      <x:c r="C7" s="12" t="str">
        <x:v>Ruby/Corundum Collection</x:v>
      </x:c>
      <x:c r="D7" s="12" t="str">
        <x:v>Coríndons</x:v>
      </x:c>
      <x:c r="E7" s="12" t="str">
        <x:v>Coríndon</x:v>
      </x:c>
      <x:c r="F7" s="12" t="str">
        <x:v>Rubi brasileiro provisório</x:v>
      </x:c>
      <x:c r="G7" s="12" t="str">
        <x:v>Lote</x:v>
      </x:c>
      <x:c r="H7" s="18" t="n">
        <x:v>3</x:v>
      </x:c>
      <x:c r="I7" s="12" t="str">
        <x:v>Navete/Marquise</x:v>
      </x:c>
      <x:c r="J7" s="12" t="str">
        <x:v>13–15 x 4 x 2–3</x:v>
      </x:c>
      <x:c r="K7" s="14" t="n">
        <x:v>6.945</x:v>
      </x:c>
      <x:c r="L7" s="12" t="str">
        <x:v>Sim</x:v>
      </x:c>
      <x:c r="M7" s="12" t="str">
        <x:v>Balança / informado</x:v>
      </x:c>
      <x:c r="N7" s="12" t="str">
        <x:v>Rosa avermelhado médio</x:v>
      </x:c>
      <x:c r="O7" s="12" t="str">
        <x:v>Translúcida</x:v>
      </x:c>
      <x:c r="P7" s="12" t="str">
        <x:v>Bahia</x:v>
      </x:c>
      <x:c r="Q7" s="12" t="str">
        <x:v>Não avaliado / não informado</x:v>
      </x:c>
      <x:c r="R7" s="12" t="str">
        <x:v>Não</x:v>
      </x:c>
      <x:c r="S7" s="12" t="str"/>
      <x:c r="T7" s="12" t="str"/>
      <x:c r="U7" s="20"/>
      <x:c r="V7" s="20" t="n">
        <x:v>500</x:v>
      </x:c>
      <x:c r="W7" s="20" t="n">
        <x:v>900</x:v>
      </x:c>
      <x:c r="X7" s="20" t="n">
        <x:v>1000</x:v>
      </x:c>
      <x:c r="Y7" s="20" t="n">
        <x:v>1800</x:v>
      </x:c>
      <x:c r="Z7" s="20" t="n">
        <x:v>3000</x:v>
      </x:c>
      <x:c r="AA7" s="20" t="n">
        <x:v>7000</x:v>
      </x:c>
      <x:c r="AB7" s="12" t="str">
        <x:v>Registrado no histórico</x:v>
      </x:c>
      <x:c r="AC7" s="16" t="n">
        <x:v>7</x:v>
      </x:c>
      <x:c r="AD7" s="12" t="str">
        <x:v>B</x:v>
      </x:c>
      <x:c r="AE7" s="12" t="str">
        <x:v>Baixa/Média</x:v>
      </x:c>
      <x:c r="AF7" s="12" t="str">
        <x:v>Brincos longos, pingentes lineares</x:v>
      </x:c>
      <x:c r="AG7" s="12" t="str">
        <x:v>Brincos longos, pingentes lineares</x:v>
      </x:c>
      <x:c r="AH7" s="12" t="str">
        <x:v>Coleção</x:v>
      </x:c>
      <x:c r="AI7" s="12" t="str"/>
      <x:c r="AJ7" s="12" t="str"/>
      <x:c r="AK7" s="12" t="str"/>
      <x:c r="AL7" s="12" t="str"/>
      <x:c r="AM7" s="12" t="str">
        <x:v>Não informado</x:v>
      </x:c>
      <x:c r="AN7" s="12" t="str"/>
      <x:c r="AO7" s="12" t="str">
        <x:v>2026-07-01</x:v>
      </x:c>
      <x:c r="AP7" s="12" t="str">
        <x:v>2026-07-19</x:v>
      </x:c>
      <x:c r="AQ7" s="12" t="str">
        <x:v>Alta</x:v>
      </x:c>
      <x:c r="AR7" s="12" t="str">
        <x:v>Inventário mestre completo atualizado em 2026-07-01</x:v>
      </x:c>
      <x:c r="AS7" s="12" t="str">
        <x:v>Confirmar identificação em laboratório</x:v>
      </x:c>
      <x:c r="AT7" s="12" t="str">
        <x:v>Formato navete confirmado; parte do lote de R$1.100. Peso oficial atualizado: 6,945 ct total do lote com 3 pedras.</x:v>
      </x:c>
    </x:row>
    <x:row r="8">
      <x:c r="A8" s="12" t="str">
        <x:v>DG-AP-001</x:v>
      </x:c>
      <x:c r="B8" s="12" t="str"/>
      <x:c r="C8" s="12" t="str">
        <x:v>Apatite Collection</x:v>
      </x:c>
      <x:c r="D8" s="12" t="str">
        <x:v>Apatitas</x:v>
      </x:c>
      <x:c r="E8" s="12" t="str">
        <x:v>Apatita</x:v>
      </x:c>
      <x:c r="F8" s="12" t="str">
        <x:v>Azul Neon</x:v>
      </x:c>
      <x:c r="G8" s="12" t="str">
        <x:v>Lote</x:v>
      </x:c>
      <x:c r="H8" s="18" t="n">
        <x:v>5</x:v>
      </x:c>
      <x:c r="I8" s="12" t="str">
        <x:v>Oval</x:v>
      </x:c>
      <x:c r="J8" s="12" t="str">
        <x:v>6 x 4 cada</x:v>
      </x:c>
      <x:c r="K8" s="14" t="n">
        <x:v>2.6</x:v>
      </x:c>
      <x:c r="L8" s="12" t="str">
        <x:v>Sim</x:v>
      </x:c>
      <x:c r="M8" s="12" t="str">
        <x:v>Fornecedor</x:v>
      </x:c>
      <x:c r="N8" s="12" t="str">
        <x:v>Azul Neon</x:v>
      </x:c>
      <x:c r="O8" s="12" t="str">
        <x:v>Transparente</x:v>
      </x:c>
      <x:c r="P8" s="12" t="str"/>
      <x:c r="Q8" s="12" t="str">
        <x:v>Não avaliado / não informado</x:v>
      </x:c>
      <x:c r="R8" s="12" t="str">
        <x:v>Não</x:v>
      </x:c>
      <x:c r="S8" s="12" t="str"/>
      <x:c r="T8" s="12" t="str"/>
      <x:c r="U8" s="20" t="n">
        <x:v>525</x:v>
      </x:c>
      <x:c r="V8" s="20" t="n">
        <x:v>1250</x:v>
      </x:c>
      <x:c r="W8" s="20" t="n">
        <x:v>2250</x:v>
      </x:c>
      <x:c r="X8" s="20" t="n">
        <x:v>1250</x:v>
      </x:c>
      <x:c r="Y8" s="20" t="n">
        <x:v>2250</x:v>
      </x:c>
      <x:c r="Z8" s="20" t="n">
        <x:v>5000</x:v>
      </x:c>
      <x:c r="AA8" s="20" t="n">
        <x:v>12000</x:v>
      </x:c>
      <x:c r="AB8" s="12" t="str">
        <x:v>Registrado no histórico</x:v>
      </x:c>
      <x:c r="AC8" s="16" t="n">
        <x:v>8.2</x:v>
      </x:c>
      <x:c r="AD8" s="12" t="str">
        <x:v>B+</x:v>
      </x:c>
      <x:c r="AE8" s="12" t="str">
        <x:v>Baixa</x:v>
      </x:c>
      <x:c r="AF8" s="12" t="str">
        <x:v>Brincos, anel halo, conjunto Ocean</x:v>
      </x:c>
      <x:c r="AG8" s="12" t="str">
        <x:v>Brincos, anel halo, conjunto Ocean</x:v>
      </x:c>
      <x:c r="AH8" s="12" t="str">
        <x:v>Coleção</x:v>
      </x:c>
      <x:c r="AI8" s="12" t="str"/>
      <x:c r="AJ8" s="12" t="str"/>
      <x:c r="AK8" s="12" t="str"/>
      <x:c r="AL8" s="12" t="str"/>
      <x:c r="AM8" s="12" t="str">
        <x:v>Não informado</x:v>
      </x:c>
      <x:c r="AN8" s="12" t="str"/>
      <x:c r="AO8" s="12" t="str">
        <x:v>2026-07-01</x:v>
      </x:c>
      <x:c r="AP8" s="12" t="str">
        <x:v>2026-07-19</x:v>
      </x:c>
      <x:c r="AQ8" s="12" t="str">
        <x:v>Alta</x:v>
      </x:c>
      <x:c r="AR8" s="12" t="str">
        <x:v>Inventário mestre completo atualizado em 2026-07-01</x:v>
      </x:c>
      <x:c r="AS8" s="12" t="str"/>
      <x:c r="AT8" s="12" t="str">
        <x:v>5 unidades; 0,52 ct por unidade; R$105/unidade.</x:v>
      </x:c>
    </x:row>
    <x:row r="9">
      <x:c r="A9" s="12" t="str">
        <x:v>DG-GR-001</x:v>
      </x:c>
      <x:c r="B9" s="12" t="str"/>
      <x:c r="C9" s="12" t="str">
        <x:v>Garnet Collection</x:v>
      </x:c>
      <x:c r="D9" s="12" t="str">
        <x:v>Granadas</x:v>
      </x:c>
      <x:c r="E9" s="12" t="str">
        <x:v>Granada</x:v>
      </x:c>
      <x:c r="F9" s="12" t="str">
        <x:v>Almandina/Piropo provável</x:v>
      </x:c>
      <x:c r="G9" s="12" t="str">
        <x:v>Lote</x:v>
      </x:c>
      <x:c r="H9" s="18" t="n">
        <x:v>15</x:v>
      </x:c>
      <x:c r="I9" s="12" t="str">
        <x:v>Ovais + 1 retangular</x:v>
      </x:c>
      <x:c r="J9" s="12" t="str">
        <x:v>Ovais 6x5; retangular 6x4</x:v>
      </x:c>
      <x:c r="K9" s="14" t="n">
        <x:v>7.49</x:v>
      </x:c>
      <x:c r="L9" s="12" t="str">
        <x:v>Sim (calculado)</x:v>
      </x:c>
      <x:c r="M9" s="12" t="str">
        <x:v>14 ovais × 0,485 ct + 1 retangular × 0,700 ct</x:v>
      </x:c>
      <x:c r="N9" s="12" t="str">
        <x:v>Vermelho conhaque / canela</x:v>
      </x:c>
      <x:c r="O9" s="12" t="str">
        <x:v>Transparente a translúcida</x:v>
      </x:c>
      <x:c r="P9" s="12" t="str"/>
      <x:c r="Q9" s="12" t="str">
        <x:v>Não avaliado / não informado</x:v>
      </x:c>
      <x:c r="R9" s="12" t="str">
        <x:v>Não</x:v>
      </x:c>
      <x:c r="S9" s="12" t="str"/>
      <x:c r="T9" s="12" t="str"/>
      <x:c r="U9" s="20" t="n">
        <x:v>150</x:v>
      </x:c>
      <x:c r="V9" s="20" t="n">
        <x:v>600</x:v>
      </x:c>
      <x:c r="W9" s="20" t="n">
        <x:v>1200</x:v>
      </x:c>
      <x:c r="X9" s="20" t="n">
        <x:v>600</x:v>
      </x:c>
      <x:c r="Y9" s="20" t="n">
        <x:v>1200</x:v>
      </x:c>
      <x:c r="Z9" s="20" t="n">
        <x:v>4000</x:v>
      </x:c>
      <x:c r="AA9" s="20" t="n">
        <x:v>10000</x:v>
      </x:c>
      <x:c r="AB9" s="12" t="str">
        <x:v>Registrado no histórico</x:v>
      </x:c>
      <x:c r="AC9" s="16" t="n">
        <x:v>7.6</x:v>
      </x:c>
      <x:c r="AD9" s="12" t="str">
        <x:v>B+</x:v>
      </x:c>
      <x:c r="AE9" s="12" t="str">
        <x:v>Baixa</x:v>
      </x:c>
      <x:c r="AF9" s="12" t="str">
        <x:v>Anéis masculinos, brincos, pingentes vintage</x:v>
      </x:c>
      <x:c r="AG9" s="12" t="str">
        <x:v>Anéis masculinos, brincos, pingentes vintage</x:v>
      </x:c>
      <x:c r="AH9" s="12" t="str">
        <x:v>Coleção</x:v>
      </x:c>
      <x:c r="AI9" s="12" t="str"/>
      <x:c r="AJ9" s="12" t="str"/>
      <x:c r="AK9" s="12" t="str"/>
      <x:c r="AL9" s="12" t="str"/>
      <x:c r="AM9" s="12" t="str">
        <x:v>Não informado</x:v>
      </x:c>
      <x:c r="AN9" s="12" t="str"/>
      <x:c r="AO9" s="12" t="str">
        <x:v>2026-07-01</x:v>
      </x:c>
      <x:c r="AP9" s="12" t="str">
        <x:v>2026-07-19</x:v>
      </x:c>
      <x:c r="AQ9" s="12" t="str">
        <x:v>Alta</x:v>
      </x:c>
      <x:c r="AR9" s="12" t="str">
        <x:v>Inventário mestre completo atualizado em 2026-07-01</x:v>
      </x:c>
      <x:c r="AS9" s="12" t="str">
        <x:v>Confirmar identificação em laboratório</x:v>
      </x:c>
      <x:c r="AT9" s="12" t="str">
        <x:v>Quantidade visual aproximada; confirmar posteriormente. Composição atualizada: 14 granadas ovais com média de 0,485 ct e 1 granada retangular de 0,700 ct. Peso total do lote: 7,490 ct.</x:v>
      </x:c>
    </x:row>
    <x:row r="10">
      <x:c r="A10" s="12" t="str">
        <x:v>DG-TB-002</x:v>
      </x:c>
      <x:c r="B10" s="12" t="str"/>
      <x:c r="C10" s="12" t="str">
        <x:v>Classic Collection</x:v>
      </x:c>
      <x:c r="D10" s="12" t="str">
        <x:v>Topázios</x:v>
      </x:c>
      <x:c r="E10" s="12" t="str">
        <x:v>Topázio</x:v>
      </x:c>
      <x:c r="F10" s="12" t="str">
        <x:v>Azul</x:v>
      </x:c>
      <x:c r="G10" s="12" t="str">
        <x:v>Lote</x:v>
      </x:c>
      <x:c r="H10" s="18" t="n">
        <x:v>6</x:v>
      </x:c>
      <x:c r="I10" s="12" t="str">
        <x:v>3 redondas + trillion + princess + retangular</x:v>
      </x:c>
      <x:c r="J10" s="12" t="str">
        <x:v>5x5; retangular 7x5</x:v>
      </x:c>
      <x:c r="K10" s="14" t="n">
        <x:v>3.8</x:v>
      </x:c>
      <x:c r="L10" s="12" t="str">
        <x:v>Não</x:v>
      </x:c>
      <x:c r="M10" s="12" t="str">
        <x:v>Estimativa por medidas</x:v>
      </x:c>
      <x:c r="N10" s="12" t="str">
        <x:v>Sky Blue</x:v>
      </x:c>
      <x:c r="O10" s="12" t="str">
        <x:v>Transparente</x:v>
      </x:c>
      <x:c r="P10" s="12" t="str"/>
      <x:c r="Q10" s="12" t="str">
        <x:v>Não avaliado / não informado</x:v>
      </x:c>
      <x:c r="R10" s="12" t="str">
        <x:v>Não</x:v>
      </x:c>
      <x:c r="S10" s="12" t="str"/>
      <x:c r="T10" s="12" t="str"/>
      <x:c r="U10" s="20"/>
      <x:c r="V10" s="20" t="n">
        <x:v>1220</x:v>
      </x:c>
      <x:c r="W10" s="20" t="n">
        <x:v>2350</x:v>
      </x:c>
      <x:c r="X10" s="20" t="n">
        <x:v>1220</x:v>
      </x:c>
      <x:c r="Y10" s="20" t="n">
        <x:v>2350</x:v>
      </x:c>
      <x:c r="Z10" s="20" t="n">
        <x:v>7100</x:v>
      </x:c>
      <x:c r="AA10" s="20" t="n">
        <x:v>15800</x:v>
      </x:c>
      <x:c r="AB10" s="12" t="str">
        <x:v>Registrado no histórico</x:v>
      </x:c>
      <x:c r="AC10" s="16" t="n">
        <x:v>7.3</x:v>
      </x:c>
      <x:c r="AD10" s="12" t="str">
        <x:v>B</x:v>
      </x:c>
      <x:c r="AE10" s="12" t="str">
        <x:v>Baixa</x:v>
      </x:c>
      <x:c r="AF10" s="12" t="str">
        <x:v>Coleção Geometry / Ocean / Ice</x:v>
      </x:c>
      <x:c r="AG10" s="12" t="str">
        <x:v>Coleção Geometry / Ocean / Ice</x:v>
      </x:c>
      <x:c r="AH10" s="12" t="str">
        <x:v>Coleção</x:v>
      </x:c>
      <x:c r="AI10" s="12" t="str"/>
      <x:c r="AJ10" s="12" t="str"/>
      <x:c r="AK10" s="12" t="str"/>
      <x:c r="AL10" s="12" t="str"/>
      <x:c r="AM10" s="12" t="str">
        <x:v>Não informado</x:v>
      </x:c>
      <x:c r="AN10" s="12" t="str"/>
      <x:c r="AO10" s="12" t="str">
        <x:v>2026-07-01</x:v>
      </x:c>
      <x:c r="AP10" s="12" t="str">
        <x:v>2026-07-19</x:v>
      </x:c>
      <x:c r="AQ10" s="12" t="str">
        <x:v>Média</x:v>
      </x:c>
      <x:c r="AR10" s="12" t="str">
        <x:v>Inventário mestre completo atualizado em 2026-07-01</x:v>
      </x:c>
      <x:c r="AS10" s="12" t="str">
        <x:v>Confirmar peso</x:v>
      </x:c>
      <x:c r="AT10" s="12" t="str"/>
    </x:row>
    <x:row r="11">
      <x:c r="A11" s="12" t="str">
        <x:v>DG-AM-001</x:v>
      </x:c>
      <x:c r="B11" s="12" t="str"/>
      <x:c r="C11" s="12" t="str">
        <x:v>Classic Collection</x:v>
      </x:c>
      <x:c r="D11" s="12" t="str">
        <x:v>Ametistas</x:v>
      </x:c>
      <x:c r="E11" s="12" t="str">
        <x:v>Ametista</x:v>
      </x:c>
      <x:c r="F11" s="12" t="str">
        <x:v>Natural</x:v>
      </x:c>
      <x:c r="G11" s="12" t="str">
        <x:v>Lote</x:v>
      </x:c>
      <x:c r="H11" s="18" t="n">
        <x:v>9</x:v>
      </x:c>
      <x:c r="I11" s="12" t="str">
        <x:v>Coração</x:v>
      </x:c>
      <x:c r="J11" s="12" t="str">
        <x:v>5 x 5 cada</x:v>
      </x:c>
      <x:c r="K11" s="14" t="n">
        <x:v>4.68</x:v>
      </x:c>
      <x:c r="L11" s="12" t="str">
        <x:v>Não</x:v>
      </x:c>
      <x:c r="M11" s="12" t="str">
        <x:v>Estimativa por medidas</x:v>
      </x:c>
      <x:c r="N11" s="12" t="str">
        <x:v>Roxo médio/intenso/lavanda</x:v>
      </x:c>
      <x:c r="O11" s="12" t="str">
        <x:v>Transparente</x:v>
      </x:c>
      <x:c r="P11" s="12" t="str"/>
      <x:c r="Q11" s="12" t="str">
        <x:v>Não avaliado / não informado</x:v>
      </x:c>
      <x:c r="R11" s="12" t="str">
        <x:v>Não</x:v>
      </x:c>
      <x:c r="S11" s="12" t="str"/>
      <x:c r="T11" s="12" t="str"/>
      <x:c r="U11" s="20" t="n">
        <x:v>112.5</x:v>
      </x:c>
      <x:c r="V11" s="20" t="n">
        <x:v>315</x:v>
      </x:c>
      <x:c r="W11" s="20" t="n">
        <x:v>720</x:v>
      </x:c>
      <x:c r="X11" s="20" t="n">
        <x:v>315</x:v>
      </x:c>
      <x:c r="Y11" s="20" t="n">
        <x:v>720</x:v>
      </x:c>
      <x:c r="Z11" s="20" t="n">
        <x:v>1500</x:v>
      </x:c>
      <x:c r="AA11" s="20" t="n">
        <x:v>4500</x:v>
      </x:c>
      <x:c r="AB11" s="12" t="str">
        <x:v>Registrado no histórico</x:v>
      </x:c>
      <x:c r="AC11" s="16" t="n">
        <x:v>7.8</x:v>
      </x:c>
      <x:c r="AD11" s="12" t="str">
        <x:v>B</x:v>
      </x:c>
      <x:c r="AE11" s="12" t="str">
        <x:v>Baixa</x:v>
      </x:c>
      <x:c r="AF11" s="12" t="str">
        <x:v>Brincos, pulseira, colar Floating Hearts</x:v>
      </x:c>
      <x:c r="AG11" s="12" t="str">
        <x:v>Brincos, pulseira, colar Floating Hearts</x:v>
      </x:c>
      <x:c r="AH11" s="12" t="str">
        <x:v>Coleção</x:v>
      </x:c>
      <x:c r="AI11" s="12" t="str"/>
      <x:c r="AJ11" s="12" t="str"/>
      <x:c r="AK11" s="12" t="str"/>
      <x:c r="AL11" s="12" t="str"/>
      <x:c r="AM11" s="12" t="str">
        <x:v>Não informado</x:v>
      </x:c>
      <x:c r="AN11" s="12" t="str"/>
      <x:c r="AO11" s="12" t="str">
        <x:v>2026-07-01</x:v>
      </x:c>
      <x:c r="AP11" s="12" t="str">
        <x:v>2026-07-19</x:v>
      </x:c>
      <x:c r="AQ11" s="12" t="str">
        <x:v>Média</x:v>
      </x:c>
      <x:c r="AR11" s="12" t="str">
        <x:v>Inventário mestre completo atualizado em 2026-07-01</x:v>
      </x:c>
      <x:c r="AS11" s="12" t="str">
        <x:v>Confirmar peso</x:v>
      </x:c>
      <x:c r="AT11" s="12" t="str">
        <x:v>R$10–15/un; custo médio usado R$12,50.</x:v>
      </x:c>
    </x:row>
    <x:row r="12">
      <x:c r="A12" s="12" t="str">
        <x:v>DG-AM-002</x:v>
      </x:c>
      <x:c r="B12" s="12" t="str"/>
      <x:c r="C12" s="12" t="str">
        <x:v>Classic Collection</x:v>
      </x:c>
      <x:c r="D12" s="12" t="str">
        <x:v>Ametistas</x:v>
      </x:c>
      <x:c r="E12" s="12" t="str">
        <x:v>Ametista</x:v>
      </x:c>
      <x:c r="F12" s="12" t="str">
        <x:v>Natural</x:v>
      </x:c>
      <x:c r="G12" s="12" t="str">
        <x:v>Lote</x:v>
      </x:c>
      <x:c r="H12" s="18" t="n">
        <x:v>5</x:v>
      </x:c>
      <x:c r="I12" s="12" t="str">
        <x:v>Oval</x:v>
      </x:c>
      <x:c r="J12" s="12" t="str">
        <x:v>6 x 5 cada</x:v>
      </x:c>
      <x:c r="K12" s="14" t="n">
        <x:v>3.5</x:v>
      </x:c>
      <x:c r="L12" s="12" t="str">
        <x:v>Não</x:v>
      </x:c>
      <x:c r="M12" s="12" t="str">
        <x:v>Estimativa por medidas</x:v>
      </x:c>
      <x:c r="N12" s="12" t="str">
        <x:v>Roxo médio / lavanda</x:v>
      </x:c>
      <x:c r="O12" s="12" t="str">
        <x:v>Transparente</x:v>
      </x:c>
      <x:c r="P12" s="12" t="str"/>
      <x:c r="Q12" s="12" t="str">
        <x:v>Não avaliado / não informado</x:v>
      </x:c>
      <x:c r="R12" s="12" t="str">
        <x:v>Não</x:v>
      </x:c>
      <x:c r="S12" s="12" t="str"/>
      <x:c r="T12" s="12" t="str"/>
      <x:c r="U12" s="20" t="n">
        <x:v>62.5</x:v>
      </x:c>
      <x:c r="V12" s="20" t="n">
        <x:v>225</x:v>
      </x:c>
      <x:c r="W12" s="20" t="n">
        <x:v>450</x:v>
      </x:c>
      <x:c r="X12" s="20" t="n">
        <x:v>225</x:v>
      </x:c>
      <x:c r="Y12" s="20" t="n">
        <x:v>450</x:v>
      </x:c>
      <x:c r="Z12" s="20" t="n">
        <x:v>2000</x:v>
      </x:c>
      <x:c r="AA12" s="20" t="n">
        <x:v>6000</x:v>
      </x:c>
      <x:c r="AB12" s="12" t="str">
        <x:v>Registrado no histórico</x:v>
      </x:c>
      <x:c r="AC12" s="16" t="n">
        <x:v>8</x:v>
      </x:c>
      <x:c r="AD12" s="12" t="str">
        <x:v>B+</x:v>
      </x:c>
      <x:c r="AE12" s="12" t="str">
        <x:v>Baixa</x:v>
      </x:c>
      <x:c r="AF12" s="12" t="str">
        <x:v>Brincos, anel, pingentes</x:v>
      </x:c>
      <x:c r="AG12" s="12" t="str">
        <x:v>Brincos, anel, pingentes</x:v>
      </x:c>
      <x:c r="AH12" s="12" t="str">
        <x:v>Coleção</x:v>
      </x:c>
      <x:c r="AI12" s="12" t="str"/>
      <x:c r="AJ12" s="12" t="str"/>
      <x:c r="AK12" s="12" t="str"/>
      <x:c r="AL12" s="12" t="str"/>
      <x:c r="AM12" s="12" t="str">
        <x:v>Não informado</x:v>
      </x:c>
      <x:c r="AN12" s="12" t="str"/>
      <x:c r="AO12" s="12" t="str">
        <x:v>2026-07-01</x:v>
      </x:c>
      <x:c r="AP12" s="12" t="str">
        <x:v>2026-07-19</x:v>
      </x:c>
      <x:c r="AQ12" s="12" t="str">
        <x:v>Média</x:v>
      </x:c>
      <x:c r="AR12" s="12" t="str">
        <x:v>Inventário mestre completo atualizado em 2026-07-01</x:v>
      </x:c>
      <x:c r="AS12" s="12" t="str">
        <x:v>Confirmar peso</x:v>
      </x:c>
      <x:c r="AT12" s="12" t="str"/>
    </x:row>
    <x:row r="13">
      <x:c r="A13" s="12" t="str">
        <x:v>DG-PD-001</x:v>
      </x:c>
      <x:c r="B13" s="12" t="str"/>
      <x:c r="C13" s="12" t="str">
        <x:v>Peridot Collection</x:v>
      </x:c>
      <x:c r="D13" s="12" t="str">
        <x:v>Peridotos</x:v>
      </x:c>
      <x:c r="E13" s="12" t="str">
        <x:v>Olivina</x:v>
      </x:c>
      <x:c r="F13" s="12" t="str">
        <x:v>Peridoto</x:v>
      </x:c>
      <x:c r="G13" s="12" t="str">
        <x:v>Lote</x:v>
      </x:c>
      <x:c r="H13" s="18" t="n">
        <x:v>6</x:v>
      </x:c>
      <x:c r="I13" s="12" t="str">
        <x:v>2 redondas + 4 ovais</x:v>
      </x:c>
      <x:c r="J13" s="12" t="str">
        <x:v>2x 4x4; 3x 5x4; 1x 5x3.5</x:v>
      </x:c>
      <x:c r="K13" s="14" t="n">
        <x:v>2.16</x:v>
      </x:c>
      <x:c r="L13" s="12" t="str">
        <x:v>Não</x:v>
      </x:c>
      <x:c r="M13" s="12" t="str">
        <x:v>Estimativa por medidas</x:v>
      </x:c>
      <x:c r="N13" s="12" t="str">
        <x:v>Verde-limão intenso</x:v>
      </x:c>
      <x:c r="O13" s="12" t="str">
        <x:v>Transparente</x:v>
      </x:c>
      <x:c r="P13" s="12" t="str"/>
      <x:c r="Q13" s="12" t="str">
        <x:v>Não avaliado / não informado</x:v>
      </x:c>
      <x:c r="R13" s="12" t="str">
        <x:v>Não</x:v>
      </x:c>
      <x:c r="S13" s="12" t="str"/>
      <x:c r="T13" s="12" t="str"/>
      <x:c r="U13" s="20" t="n">
        <x:v>100</x:v>
      </x:c>
      <x:c r="V13" s="20" t="n">
        <x:v>900</x:v>
      </x:c>
      <x:c r="W13" s="20" t="n">
        <x:v>1500</x:v>
      </x:c>
      <x:c r="X13" s="20" t="n">
        <x:v>900</x:v>
      </x:c>
      <x:c r="Y13" s="20" t="n">
        <x:v>1500</x:v>
      </x:c>
      <x:c r="Z13" s="20" t="n">
        <x:v>3500</x:v>
      </x:c>
      <x:c r="AA13" s="20" t="n">
        <x:v>7000</x:v>
      </x:c>
      <x:c r="AB13" s="12" t="str">
        <x:v>Registrado no histórico</x:v>
      </x:c>
      <x:c r="AC13" s="16" t="n">
        <x:v>8.2</x:v>
      </x:c>
      <x:c r="AD13" s="12" t="str">
        <x:v>B+</x:v>
      </x:c>
      <x:c r="AE13" s="12" t="str">
        <x:v>Baixa</x:v>
      </x:c>
      <x:c r="AF13" s="12" t="str">
        <x:v>Conjunto Primavera: brincos, anel, pingente</x:v>
      </x:c>
      <x:c r="AG13" s="12" t="str">
        <x:v>Conjunto Primavera: brincos, anel, pingente</x:v>
      </x:c>
      <x:c r="AH13" s="12" t="str">
        <x:v>Coleção</x:v>
      </x:c>
      <x:c r="AI13" s="12" t="str"/>
      <x:c r="AJ13" s="12" t="str"/>
      <x:c r="AK13" s="12" t="str"/>
      <x:c r="AL13" s="12" t="str"/>
      <x:c r="AM13" s="12" t="str">
        <x:v>Não informado</x:v>
      </x:c>
      <x:c r="AN13" s="12" t="str"/>
      <x:c r="AO13" s="12" t="str">
        <x:v>2026-07-01</x:v>
      </x:c>
      <x:c r="AP13" s="12" t="str">
        <x:v>2026-07-19</x:v>
      </x:c>
      <x:c r="AQ13" s="12" t="str">
        <x:v>Média</x:v>
      </x:c>
      <x:c r="AR13" s="12" t="str">
        <x:v>Inventário mestre completo atualizado em 2026-07-01</x:v>
      </x:c>
      <x:c r="AS13" s="12" t="str">
        <x:v>Confirmar peso</x:v>
      </x:c>
      <x:c r="AT13" s="12" t="str">
        <x:v>Valor pago máximo R$100 pelo lote.</x:v>
      </x:c>
    </x:row>
  </x:sheetData>
  <x:conditionalFormatting sqref="K2:K13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{5386F74B-6446-C8A3-7145-9E6088FDBFB9}</x14:id>
        </x:ext>
      </x:extLst>
    </x:cfRule>
  </x:conditionalFormatting>
  <x:conditionalFormatting sqref="AC2:AC13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13">
    <x:cfRule type="expression" dxfId="12" priority="3">
      <x:formula>AB2="Pendente de precificação individual"</x:formula>
    </x:cfRule>
  </x:conditionalFormatting>
  <x:conditionalFormatting sqref="AS2:AS13">
    <x:cfRule type="expression" dxfId="13" priority="4">
      <x:formula>LEN(AS2)&gt;0</x:formula>
    </x:cfRule>
  </x:conditionalFormatting>
  <x:dataValidations count="2">
    <x:dataValidation type="list" sqref="AH2:AH13">
      <x:formula1>"Coleção,Estoque,Estoque para produção,Em identificação,Em certificação,Em joia,Vendido"</x:formula1>
    </x:dataValidation>
    <x:dataValidation type="list" sqref="AE2:AE13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e07b962ab14e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86F74B-6446-C8A3-7145-9E6088FDBFB9}">
            <x14:dataBar gradient="1">
              <x14:cfvo type="min"/>
              <x14:cfvo type="max"/>
              <x14:fillColor rgb="FF4C8A72"/>
            </x14:dataBar>
          </x14:cfRule>
          <xm:sqref>K2:K13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DG-PB-0001</x:v>
      </x:c>
      <x:c r="B2" s="12" t="str"/>
      <x:c r="C2" s="12" t="str">
        <x:v>Paraíba Collection</x:v>
      </x:c>
      <x:c r="D2" s="12" t="str">
        <x:v>Turmalinas</x:v>
      </x:c>
      <x:c r="E2" s="12" t="str">
        <x:v>Elbaíta</x:v>
      </x:c>
      <x:c r="F2" s="12" t="str">
        <x:v>Turmalina Paraíba</x:v>
      </x:c>
      <x:c r="G2" s="12" t="str">
        <x:v>Gema individual</x:v>
      </x:c>
      <x:c r="H2" s="18" t="n">
        <x:v>1</x:v>
      </x:c>
      <x:c r="I2" s="12" t="str">
        <x:v>Oval / Brilliant Cut</x:v>
      </x:c>
      <x:c r="J2" s="12" t="str">
        <x:v>7.70 x 4.98 x 3.65</x:v>
      </x:c>
      <x:c r="K2" s="14" t="n">
        <x:v>1.02</x:v>
      </x:c>
      <x:c r="L2" s="12" t="str">
        <x:v>Sim</x:v>
      </x:c>
      <x:c r="M2" s="12" t="str">
        <x:v>Certificado</x:v>
      </x:c>
      <x:c r="N2" s="12" t="str">
        <x:v>Azul intenso</x:v>
      </x:c>
      <x:c r="O2" s="12" t="str">
        <x:v>Opaca a translúcida</x:v>
      </x:c>
      <x:c r="P2" s="12" t="str">
        <x:v>Brasil</x:v>
      </x:c>
      <x:c r="Q2" s="12" t="str">
        <x:v>Não avaliado / não informado</x:v>
      </x:c>
      <x:c r="R2" s="12" t="str">
        <x:v>Sim</x:v>
      </x:c>
      <x:c r="S2" s="12" t="str">
        <x:v>Áurea Gem Lab</x:v>
      </x:c>
      <x:c r="T2" s="12" t="str"/>
      <x:c r="U2" s="20" t="n">
        <x:v>2690</x:v>
      </x:c>
      <x:c r="V2" s="20" t="n">
        <x:v>35000</x:v>
      </x:c>
      <x:c r="W2" s="20" t="n">
        <x:v>70000</x:v>
      </x:c>
      <x:c r="X2" s="20" t="n">
        <x:v>35000</x:v>
      </x:c>
      <x:c r="Y2" s="20" t="n">
        <x:v>70000</x:v>
      </x:c>
      <x:c r="Z2" s="20" t="n">
        <x:v>50000</x:v>
      </x:c>
      <x:c r="AA2" s="20" t="n">
        <x:v>90000</x:v>
      </x:c>
      <x:c r="AB2" s="12" t="str">
        <x:v>Registrado no histórico</x:v>
      </x:c>
      <x:c r="AC2" s="16" t="n">
        <x:v>9.5</x:v>
      </x:c>
      <x:c r="AD2" s="12" t="str">
        <x:v>A+</x:v>
      </x:c>
      <x:c r="AE2" s="12" t="str">
        <x:v>Alta</x:v>
      </x:c>
      <x:c r="AF2" s="12" t="str">
        <x:v>Anel halo premium / anel principal</x:v>
      </x:c>
      <x:c r="AG2" s="12" t="str">
        <x:v>Anel halo premium / anel principal</x:v>
      </x:c>
      <x:c r="AH2" s="12" t="str">
        <x:v>Coleção</x:v>
      </x:c>
      <x:c r="AI2" s="12" t="str"/>
      <x:c r="AJ2" s="12" t="str"/>
      <x:c r="AK2" s="12" t="str"/>
      <x:c r="AL2" s="12" t="str"/>
      <x:c r="AM2" s="12" t="str">
        <x:v>Não informado</x:v>
      </x:c>
      <x:c r="AN2" s="12" t="str"/>
      <x:c r="AO2" s="12" t="str">
        <x:v>2026-07-01</x:v>
      </x:c>
      <x:c r="AP2" s="12" t="str">
        <x:v>2026-07-19</x:v>
      </x:c>
      <x:c r="AQ2" s="12" t="str">
        <x:v>Alta</x:v>
      </x:c>
      <x:c r="AR2" s="12" t="str">
        <x:v>Inventário mestre completo atualizado em 2026-07-01</x:v>
      </x:c>
      <x:c r="AS2" s="12" t="str"/>
      <x:c r="AT2" s="12" t="str">
        <x:v>Cu+Mn; clarity enhancement; muitas inclusões conforme laudo.</x:v>
      </x:c>
    </x:row>
    <x:row r="3">
      <x:c r="A3" s="12" t="str">
        <x:v>DG-PB-0002</x:v>
      </x:c>
      <x:c r="B3" s="12" t="str"/>
      <x:c r="C3" s="12" t="str">
        <x:v>Paraíba Collection</x:v>
      </x:c>
      <x:c r="D3" s="12" t="str">
        <x:v>Turmalinas</x:v>
      </x:c>
      <x:c r="E3" s="12" t="str">
        <x:v>Elbaíta</x:v>
      </x:c>
      <x:c r="F3" s="12" t="str">
        <x:v>Turmalina Paraíba</x:v>
      </x:c>
      <x:c r="G3" s="12" t="str">
        <x:v>Gema individual</x:v>
      </x:c>
      <x:c r="H3" s="18" t="n">
        <x:v>1</x:v>
      </x:c>
      <x:c r="I3" s="12" t="str">
        <x:v>Gota / Pear Brilliant</x:v>
      </x:c>
      <x:c r="J3" s="12" t="str">
        <x:v>5.34 x 3.20 x 2.29</x:v>
      </x:c>
      <x:c r="K3" s="14" t="n">
        <x:v>0.26</x:v>
      </x:c>
      <x:c r="L3" s="12" t="str">
        <x:v>Sim</x:v>
      </x:c>
      <x:c r="M3" s="12" t="str">
        <x:v>Certificado</x:v>
      </x:c>
      <x:c r="N3" s="12" t="str">
        <x:v>Intense Bluish Green</x:v>
      </x:c>
      <x:c r="O3" s="12" t="str">
        <x:v>Translúcida</x:v>
      </x:c>
      <x:c r="P3" s="12" t="str">
        <x:v>Brasil</x:v>
      </x:c>
      <x:c r="Q3" s="12" t="str">
        <x:v>Não avaliado / não informado</x:v>
      </x:c>
      <x:c r="R3" s="12" t="str">
        <x:v>Sim</x:v>
      </x:c>
      <x:c r="S3" s="12" t="str">
        <x:v>Áurea Gem Lab</x:v>
      </x:c>
      <x:c r="T3" s="12" t="str"/>
      <x:c r="U3" s="20" t="n">
        <x:v>4035</x:v>
      </x:c>
      <x:c r="V3" s="20" t="n">
        <x:v>8000</x:v>
      </x:c>
      <x:c r="W3" s="20" t="n">
        <x:v>15000</x:v>
      </x:c>
      <x:c r="X3" s="20" t="n">
        <x:v>18000</x:v>
      </x:c>
      <x:c r="Y3" s="20" t="n">
        <x:v>35000</x:v>
      </x:c>
      <x:c r="Z3" s="20" t="n">
        <x:v>25000</x:v>
      </x:c>
      <x:c r="AA3" s="20" t="n">
        <x:v>50000</x:v>
      </x:c>
      <x:c r="AB3" s="12" t="str">
        <x:v>Registrado no histórico</x:v>
      </x:c>
      <x:c r="AC3" s="16" t="n">
        <x:v>9.1</x:v>
      </x:c>
      <x:c r="AD3" s="12" t="str">
        <x:v>A</x:v>
      </x:c>
      <x:c r="AE3" s="12" t="str">
        <x:v>Alta</x:v>
      </x:c>
      <x:c r="AF3" s="12" t="str">
        <x:v>Pingente halo premium / gota flutuante</x:v>
      </x:c>
      <x:c r="AG3" s="12" t="str">
        <x:v>Pingente halo premium / gota flutuante</x:v>
      </x:c>
      <x:c r="AH3" s="12" t="str">
        <x:v>Coleção</x:v>
      </x:c>
      <x:c r="AI3" s="12" t="str"/>
      <x:c r="AJ3" s="12" t="str"/>
      <x:c r="AK3" s="12" t="str"/>
      <x:c r="AL3" s="12" t="str"/>
      <x:c r="AM3" s="12" t="str">
        <x:v>Não informado</x:v>
      </x:c>
      <x:c r="AN3" s="12" t="str"/>
      <x:c r="AO3" s="12" t="str">
        <x:v>2026-07-01</x:v>
      </x:c>
      <x:c r="AP3" s="12" t="str">
        <x:v>2026-07-19</x:v>
      </x:c>
      <x:c r="AQ3" s="12" t="str">
        <x:v>Alta</x:v>
      </x:c>
      <x:c r="AR3" s="12" t="str">
        <x:v>Inventário mestre completo atualizado em 2026-07-01</x:v>
      </x:c>
      <x:c r="AS3" s="12" t="str"/>
      <x:c r="AT3" s="12" t="str">
        <x:v>Cu+Mn; clarity enhancement; poucas inclusões.</x:v>
      </x:c>
    </x:row>
  </x:sheetData>
  <x:conditionalFormatting sqref="K2:K3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{E03731BC-1A28-F609-1471-B83444C58FEE}</x14:id>
        </x:ext>
      </x:extLst>
    </x:cfRule>
  </x:conditionalFormatting>
  <x:conditionalFormatting sqref="AC2:AC3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3">
    <x:cfRule type="expression" dxfId="14" priority="3">
      <x:formula>AB2="Pendente de precificação individual"</x:formula>
    </x:cfRule>
  </x:conditionalFormatting>
  <x:conditionalFormatting sqref="AS2:AS3">
    <x:cfRule type="expression" dxfId="15" priority="4">
      <x:formula>LEN(AS2)&gt;0</x:formula>
    </x:cfRule>
  </x:conditionalFormatting>
  <x:dataValidations count="2">
    <x:dataValidation type="list" sqref="AH2:AH3">
      <x:formula1>"Coleção,Estoque,Estoque para produção,Em identificação,Em certificação,Em joia,Vendido"</x:formula1>
    </x:dataValidation>
    <x:dataValidation type="list" sqref="AE2:AE3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69c1c7954c41e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03731BC-1A28-F609-1471-B83444C58FEE}">
            <x14:dataBar gradient="1">
              <x14:cfvo type="min"/>
              <x14:cfvo type="max"/>
              <x14:fillColor rgb="FF4C8A72"/>
            </x14:dataBar>
          </x14:cfRule>
          <xm:sqref>K2:K3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10" hidden="0" customWidth="1"/>
    <x:col min="9" max="9" width="28" hidden="0" customWidth="1"/>
    <x:col min="10" max="10" width="20" hidden="0" customWidth="1"/>
    <x:col min="11" max="11" width="11" hidden="0" customWidth="1"/>
    <x:col min="12" max="12" width="17" hidden="0" customWidth="1"/>
    <x:col min="13" max="13" width="28" hidden="0" customWidth="1"/>
    <x:col min="14" max="14" width="27" hidden="0" customWidth="1"/>
    <x:col min="15" max="15" width="21" hidden="0" customWidth="1"/>
    <x:col min="16" max="16" width="17" hidden="0" customWidth="1"/>
    <x:col min="17" max="17" width="25" hidden="0" customWidth="1"/>
    <x:col min="18" max="18" width="12" hidden="0" customWidth="1"/>
    <x:col min="19" max="19" width="20" hidden="0" customWidth="1"/>
    <x:col min="20" max="20" width="20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5" hidden="0" customWidth="1"/>
    <x:col min="29" max="29" width="12" hidden="0" customWidth="1"/>
    <x:col min="30" max="30" width="13" hidden="0" customWidth="1"/>
    <x:col min="31" max="31" width="20" hidden="0" customWidth="1"/>
    <x:col min="32" max="32" width="34" hidden="0" customWidth="1"/>
    <x:col min="33" max="33" width="24" hidden="0" customWidth="1"/>
    <x:col min="34" max="34" width="18" hidden="0" customWidth="1"/>
    <x:col min="35" max="35" width="12" hidden="0" customWidth="1"/>
    <x:col min="36" max="36" width="13" hidden="0" customWidth="1"/>
    <x:col min="37" max="37" width="10" hidden="0" customWidth="1"/>
    <x:col min="38" max="38" width="38" hidden="0" customWidth="1"/>
    <x:col min="39" max="39" width="18" hidden="0" customWidth="1"/>
    <x:col min="40" max="40" width="55" hidden="0" customWidth="1"/>
    <x:col min="41" max="41" width="17" hidden="0" customWidth="1"/>
    <x:col min="42" max="42" width="17" hidden="0" customWidth="1"/>
    <x:col min="43" max="43" width="17" hidden="0" customWidth="1"/>
    <x:col min="44" max="44" width="40" hidden="0" customWidth="1"/>
    <x:col min="45" max="45" width="40" hidden="0" customWidth="1"/>
    <x:col min="46" max="46" width="65" hidden="0" customWidth="1"/>
  </x:cols>
  <x:sheetData>
    <x:row r="1">
      <x:c r="A1" s="6" t="str">
        <x:v>Codigo</x:v>
      </x:c>
      <x:c r="B1" s="6" t="str">
        <x:v>Codigo_Legado</x:v>
      </x:c>
      <x:c r="C1" s="6" t="str">
        <x:v>Colecao</x:v>
      </x:c>
      <x:c r="D1" s="6" t="str">
        <x:v>Grupo</x:v>
      </x:c>
      <x:c r="E1" s="6" t="str">
        <x:v>Especie</x:v>
      </x:c>
      <x:c r="F1" s="6" t="str">
        <x:v>Variedade</x:v>
      </x:c>
      <x:c r="G1" s="6" t="str">
        <x:v>Tipo_Item</x:v>
      </x:c>
      <x:c r="H1" s="6" t="str">
        <x:v>Quantidade</x:v>
      </x:c>
      <x:c r="I1" s="6" t="str">
        <x:v>Formato_Lapidacao</x:v>
      </x:c>
      <x:c r="J1" s="6" t="str">
        <x:v>Dimensoes_mm</x:v>
      </x:c>
      <x:c r="K1" s="6" t="str">
        <x:v>Peso_ct</x:v>
      </x:c>
      <x:c r="L1" s="6" t="str">
        <x:v>Peso_Confirmado</x:v>
      </x:c>
      <x:c r="M1" s="6" t="str">
        <x:v>Metodo_Peso</x:v>
      </x:c>
      <x:c r="N1" s="6" t="str">
        <x:v>Cor_Tonalidade</x:v>
      </x:c>
      <x:c r="O1" s="6" t="str">
        <x:v>Transparencia</x:v>
      </x:c>
      <x:c r="P1" s="6" t="str">
        <x:v>Origem_Informada</x:v>
      </x:c>
      <x:c r="Q1" s="6" t="str">
        <x:v>Tratamento_Conhecido</x:v>
      </x:c>
      <x:c r="R1" s="6" t="str">
        <x:v>Certificado</x:v>
      </x:c>
      <x:c r="S1" s="6" t="str">
        <x:v>Laboratorio</x:v>
      </x:c>
      <x:c r="T1" s="6" t="str">
        <x:v>Numero_Certificado</x:v>
      </x:c>
      <x:c r="U1" s="6" t="str">
        <x:v>Valor_Pago_Total_BRL</x:v>
      </x:c>
      <x:c r="V1" s="6" t="str">
        <x:v>Valor_Atacado_Min_BRL</x:v>
      </x:c>
      <x:c r="W1" s="6" t="str">
        <x:v>Valor_Atacado_Max_BRL</x:v>
      </x:c>
      <x:c r="X1" s="6" t="str">
        <x:v>Valor_Varejo_Min_BRL</x:v>
      </x:c>
      <x:c r="Y1" s="6" t="str">
        <x:v>Valor_Varejo_Max_BRL</x:v>
      </x:c>
      <x:c r="Z1" s="6" t="str">
        <x:v>Valor_Joia_Min_BRL</x:v>
      </x:c>
      <x:c r="AA1" s="6" t="str">
        <x:v>Valor_Joia_Max_BRL</x:v>
      </x:c>
      <x:c r="AB1" s="6" t="str">
        <x:v>Status_Valor</x:v>
      </x:c>
      <x:c r="AC1" s="6" t="str">
        <x:v>Nota_Geral_10</x:v>
      </x:c>
      <x:c r="AD1" s="6" t="str">
        <x:v>Classe_DG</x:v>
      </x:c>
      <x:c r="AE1" s="6" t="str">
        <x:v>Prioridade_Certificacao</x:v>
      </x:c>
      <x:c r="AF1" s="6" t="str">
        <x:v>Melhor_Aplicacao</x:v>
      </x:c>
      <x:c r="AG1" s="6" t="str">
        <x:v>Destino_Sugerido</x:v>
      </x:c>
      <x:c r="AH1" s="6" t="str">
        <x:v>Status</x:v>
      </x:c>
      <x:c r="AI1" s="6" t="str">
        <x:v>Caixa</x:v>
      </x:c>
      <x:c r="AJ1" s="6" t="str">
        <x:v>Envelope</x:v>
      </x:c>
      <x:c r="AK1" s="6" t="str">
        <x:v>Posicao</x:v>
      </x:c>
      <x:c r="AL1" s="6" t="str">
        <x:v>Localizacao_Fisica</x:v>
      </x:c>
      <x:c r="AM1" s="6" t="str">
        <x:v>Localizacao_Status</x:v>
      </x:c>
      <x:c r="AN1" s="6" t="str">
        <x:v>Fotos_Referencia</x:v>
      </x:c>
      <x:c r="AO1" s="6" t="str">
        <x:v>Data_Registro_Original</x:v>
      </x:c>
      <x:c r="AP1" s="6" t="str">
        <x:v>Data_Ultima_Revisao</x:v>
      </x:c>
      <x:c r="AQ1" s="6" t="str">
        <x:v>Confianca_Dados</x:v>
      </x:c>
      <x:c r="AR1" s="6" t="str">
        <x:v>Fonte_Registro</x:v>
      </x:c>
      <x:c r="AS1" s="6" t="str">
        <x:v>Pendencias</x:v>
      </x:c>
      <x:c r="AT1" s="6" t="str">
        <x:v>Observacoes</x:v>
      </x:c>
    </x:row>
    <x:row r="2">
      <x:c r="A2" s="12" t="str">
        <x:v>DG-EM-001</x:v>
      </x:c>
      <x:c r="B2" s="12" t="str"/>
      <x:c r="C2" s="12" t="str">
        <x:v>Emerald Collection</x:v>
      </x:c>
      <x:c r="D2" s="12" t="str">
        <x:v>Esmeraldas</x:v>
      </x:c>
      <x:c r="E2" s="12" t="str">
        <x:v>Berilo</x:v>
      </x:c>
      <x:c r="F2" s="12" t="str">
        <x:v>Esmeralda</x:v>
      </x:c>
      <x:c r="G2" s="12" t="str">
        <x:v>Gema individual</x:v>
      </x:c>
      <x:c r="H2" s="18" t="n">
        <x:v>1</x:v>
      </x:c>
      <x:c r="I2" s="12" t="str">
        <x:v>Redonda / Round Mixed</x:v>
      </x:c>
      <x:c r="J2" s="12" t="str">
        <x:v>9 x 9 x 3</x:v>
      </x:c>
      <x:c r="K2" s="14" t="n">
        <x:v>2.915</x:v>
      </x:c>
      <x:c r="L2" s="12" t="str">
        <x:v>Sim</x:v>
      </x:c>
      <x:c r="M2" s="12" t="str">
        <x:v>Balança / informado</x:v>
      </x:c>
      <x:c r="N2" s="12" t="str">
        <x:v>Verde médio levemente azulado</x:v>
      </x:c>
      <x:c r="O2" s="12" t="str">
        <x:v>Semi-transparente a translúcida</x:v>
      </x:c>
      <x:c r="P2" s="12" t="str"/>
      <x:c r="Q2" s="12" t="str">
        <x:v>Não avaliado / não informado</x:v>
      </x:c>
      <x:c r="R2" s="12" t="str">
        <x:v>Não</x:v>
      </x:c>
      <x:c r="S2" s="12" t="str"/>
      <x:c r="T2" s="12" t="str"/>
      <x:c r="U2" s="20"/>
      <x:c r="V2" s="20"/>
      <x:c r="W2" s="20"/>
      <x:c r="X2" s="20"/>
      <x:c r="Y2" s="20"/>
      <x:c r="Z2" s="20"/>
      <x:c r="AA2" s="20"/>
      <x:c r="AB2" s="12" t="str">
        <x:v>Pendente de precificação individual</x:v>
      </x:c>
      <x:c r="AC2" s="16" t="n">
        <x:v>8.3</x:v>
      </x:c>
      <x:c r="AD2" s="12" t="str">
        <x:v>A</x:v>
      </x:c>
      <x:c r="AE2" s="12" t="str">
        <x:v>A definir</x:v>
      </x:c>
      <x:c r="AF2" s="12" t="str">
        <x:v>Anel solitário / pingente halo</x:v>
      </x:c>
      <x:c r="AG2" s="12" t="str">
        <x:v>Anel solitário / pingente halo</x:v>
      </x:c>
      <x:c r="AH2" s="12" t="str">
        <x:v>Coleção</x:v>
      </x:c>
      <x:c r="AI2" s="12" t="str"/>
      <x:c r="AJ2" s="12" t="str"/>
      <x:c r="AK2" s="12" t="str"/>
      <x:c r="AL2" s="12" t="str"/>
      <x:c r="AM2" s="12" t="str">
        <x:v>Não informado</x:v>
      </x:c>
      <x:c r="AN2" s="12" t="str"/>
      <x:c r="AO2" s="12" t="str">
        <x:v>2026-07-01</x:v>
      </x:c>
      <x:c r="AP2" s="12" t="str">
        <x:v>2026-07-19</x:v>
      </x:c>
      <x:c r="AQ2" s="12" t="str">
        <x:v>Alta</x:v>
      </x:c>
      <x:c r="AR2" s="12" t="str">
        <x:v>Inventário mestre completo atualizado em 2026-07-01</x:v>
      </x:c>
      <x:c r="AS2" s="12" t="str">
        <x:v>Precificação individual pendente</x:v>
      </x:c>
      <x:c r="AT2" s="12" t="str">
        <x:v>Avaliação visual; tratamentos não avaliados; confirmar naturalidade/tratamento em laboratório.</x:v>
      </x:c>
    </x:row>
    <x:row r="3">
      <x:c r="A3" s="12" t="str">
        <x:v>DG-EM-002</x:v>
      </x:c>
      <x:c r="B3" s="12" t="str"/>
      <x:c r="C3" s="12" t="str">
        <x:v>Emerald Collection</x:v>
      </x:c>
      <x:c r="D3" s="12" t="str">
        <x:v>Esmeraldas</x:v>
      </x:c>
      <x:c r="E3" s="12" t="str">
        <x:v>Berilo</x:v>
      </x:c>
      <x:c r="F3" s="12" t="str">
        <x:v>Esmeralda</x:v>
      </x:c>
      <x:c r="G3" s="12" t="str">
        <x:v>Gema individual</x:v>
      </x:c>
      <x:c r="H3" s="18" t="n">
        <x:v>1</x:v>
      </x:c>
      <x:c r="I3" s="12" t="str">
        <x:v>Octogonal / Emerald Cut</x:v>
      </x:c>
      <x:c r="J3" s="12" t="str">
        <x:v>16 x 14 x 6</x:v>
      </x:c>
      <x:c r="K3" s="14" t="n">
        <x:v>13.2</x:v>
      </x:c>
      <x:c r="L3" s="12" t="str">
        <x:v>Sim</x:v>
      </x:c>
      <x:c r="M3" s="12" t="str">
        <x:v>Balança / informado</x:v>
      </x:c>
      <x:c r="N3" s="12" t="str">
        <x:v>Verde intenso</x:v>
      </x:c>
      <x:c r="O3" s="12" t="str">
        <x:v>Semi-transparente a translúcida</x:v>
      </x:c>
      <x:c r="P3" s="12" t="str"/>
      <x:c r="Q3" s="12" t="str">
        <x:v>Não avaliado / não informado</x:v>
      </x:c>
      <x:c r="R3" s="12" t="str">
        <x:v>Não</x:v>
      </x:c>
      <x:c r="S3" s="12" t="str"/>
      <x:c r="T3" s="12" t="str"/>
      <x:c r="U3" s="20"/>
      <x:c r="V3" s="20"/>
      <x:c r="W3" s="20"/>
      <x:c r="X3" s="20"/>
      <x:c r="Y3" s="20"/>
      <x:c r="Z3" s="20"/>
      <x:c r="AA3" s="20"/>
      <x:c r="AB3" s="12" t="str">
        <x:v>Pendente de precificação individual</x:v>
      </x:c>
      <x:c r="AC3" s="16" t="n">
        <x:v>8.9</x:v>
      </x:c>
      <x:c r="AD3" s="12" t="str">
        <x:v>A+ Premium</x:v>
      </x:c>
      <x:c r="AE3" s="12" t="str">
        <x:v>A definir</x:v>
      </x:c>
      <x:c r="AF3" s="12" t="str">
        <x:v>Anel de destaque / pingente central</x:v>
      </x:c>
      <x:c r="AG3" s="12" t="str">
        <x:v>Anel de destaque / pingente central</x:v>
      </x:c>
      <x:c r="AH3" s="12" t="str">
        <x:v>Coleção</x:v>
      </x:c>
      <x:c r="AI3" s="12" t="str"/>
      <x:c r="AJ3" s="12" t="str"/>
      <x:c r="AK3" s="12" t="str"/>
      <x:c r="AL3" s="12" t="str"/>
      <x:c r="AM3" s="12" t="str">
        <x:v>Não informado</x:v>
      </x:c>
      <x:c r="AN3" s="12" t="str"/>
      <x:c r="AO3" s="12" t="str">
        <x:v>2026-07-01</x:v>
      </x:c>
      <x:c r="AP3" s="12" t="str">
        <x:v>2026-07-19</x:v>
      </x:c>
      <x:c r="AQ3" s="12" t="str">
        <x:v>Alta</x:v>
      </x:c>
      <x:c r="AR3" s="12" t="str">
        <x:v>Inventário mestre completo atualizado em 2026-07-01</x:v>
      </x:c>
      <x:c r="AS3" s="12" t="str">
        <x:v>Precificação individual pendente</x:v>
      </x:c>
      <x:c r="AT3" s="12" t="str">
        <x:v>Avaliação visual; tratamentos não avaliados; confirmar naturalidade/tratamento em laboratório.</x:v>
      </x:c>
    </x:row>
    <x:row r="4">
      <x:c r="A4" s="12" t="str">
        <x:v>DG-EM-003</x:v>
      </x:c>
      <x:c r="B4" s="12" t="str"/>
      <x:c r="C4" s="12" t="str">
        <x:v>Emerald Collection</x:v>
      </x:c>
      <x:c r="D4" s="12" t="str">
        <x:v>Esmeraldas</x:v>
      </x:c>
      <x:c r="E4" s="12" t="str">
        <x:v>Berilo</x:v>
      </x:c>
      <x:c r="F4" s="12" t="str">
        <x:v>Esmeralda</x:v>
      </x:c>
      <x:c r="G4" s="12" t="str">
        <x:v>Gema individual</x:v>
      </x:c>
      <x:c r="H4" s="18" t="n">
        <x:v>1</x:v>
      </x:c>
      <x:c r="I4" s="12" t="str">
        <x:v>Oval Mixed</x:v>
      </x:c>
      <x:c r="J4" s="12" t="str">
        <x:v>19 x 14 x 5</x:v>
      </x:c>
      <x:c r="K4" s="14" t="n">
        <x:v>12.07</x:v>
      </x:c>
      <x:c r="L4" s="12" t="str">
        <x:v>Sim</x:v>
      </x:c>
      <x:c r="M4" s="12" t="str">
        <x:v>Balança / informado</x:v>
      </x:c>
      <x:c r="N4" s="12" t="str">
        <x:v>Verde escuro saturado</x:v>
      </x:c>
      <x:c r="O4" s="12" t="str">
        <x:v>Semi-transparente a translúcida</x:v>
      </x:c>
      <x:c r="P4" s="12" t="str"/>
      <x:c r="Q4" s="12" t="str">
        <x:v>Não avaliado / não informado</x:v>
      </x:c>
      <x:c r="R4" s="12" t="str">
        <x:v>Não</x:v>
      </x:c>
      <x:c r="S4" s="12" t="str"/>
      <x:c r="T4" s="12" t="str"/>
      <x:c r="U4" s="20"/>
      <x:c r="V4" s="20"/>
      <x:c r="W4" s="20"/>
      <x:c r="X4" s="20"/>
      <x:c r="Y4" s="20"/>
      <x:c r="Z4" s="20"/>
      <x:c r="AA4" s="20"/>
      <x:c r="AB4" s="12" t="str">
        <x:v>Pendente de precificação individual</x:v>
      </x:c>
      <x:c r="AC4" s="16" t="n">
        <x:v>8.8</x:v>
      </x:c>
      <x:c r="AD4" s="12" t="str">
        <x:v>A+ Premium</x:v>
      </x:c>
      <x:c r="AE4" s="12" t="str">
        <x:v>A definir</x:v>
      </x:c>
      <x:c r="AF4" s="12" t="str">
        <x:v>Pingente central / anel robusto</x:v>
      </x:c>
      <x:c r="AG4" s="12" t="str">
        <x:v>Pingente central / anel robusto</x:v>
      </x:c>
      <x:c r="AH4" s="12" t="str">
        <x:v>Coleção</x:v>
      </x:c>
      <x:c r="AI4" s="12" t="str"/>
      <x:c r="AJ4" s="12" t="str"/>
      <x:c r="AK4" s="12" t="str"/>
      <x:c r="AL4" s="12" t="str"/>
      <x:c r="AM4" s="12" t="str">
        <x:v>Não informado</x:v>
      </x:c>
      <x:c r="AN4" s="12" t="str"/>
      <x:c r="AO4" s="12" t="str">
        <x:v>2026-07-01</x:v>
      </x:c>
      <x:c r="AP4" s="12" t="str">
        <x:v>2026-07-19</x:v>
      </x:c>
      <x:c r="AQ4" s="12" t="str">
        <x:v>Alta</x:v>
      </x:c>
      <x:c r="AR4" s="12" t="str">
        <x:v>Inventário mestre completo atualizado em 2026-07-01</x:v>
      </x:c>
      <x:c r="AS4" s="12" t="str">
        <x:v>Precificação individual pendente</x:v>
      </x:c>
      <x:c r="AT4" s="12" t="str">
        <x:v>Avaliação visual; tratamentos não avaliados; confirmar naturalidade/tratamento em laboratório.</x:v>
      </x:c>
    </x:row>
    <x:row r="5">
      <x:c r="A5" s="12" t="str">
        <x:v>DG-EM-004</x:v>
      </x:c>
      <x:c r="B5" s="12" t="str"/>
      <x:c r="C5" s="12" t="str">
        <x:v>Emerald Collection</x:v>
      </x:c>
      <x:c r="D5" s="12" t="str">
        <x:v>Esmeraldas</x:v>
      </x:c>
      <x:c r="E5" s="12" t="str">
        <x:v>Berilo</x:v>
      </x:c>
      <x:c r="F5" s="12" t="str">
        <x:v>Esmeralda</x:v>
      </x:c>
      <x:c r="G5" s="12" t="str">
        <x:v>Gema individual</x:v>
      </x:c>
      <x:c r="H5" s="18" t="n">
        <x:v>1</x:v>
      </x:c>
      <x:c r="I5" s="12" t="str">
        <x:v>Gota / Pear</x:v>
      </x:c>
      <x:c r="J5" s="12" t="str">
        <x:v>15 x 9 x 5</x:v>
      </x:c>
      <x:c r="K5" s="14" t="n">
        <x:v>5.89</x:v>
      </x:c>
      <x:c r="L5" s="12" t="str">
        <x:v>Sim</x:v>
      </x:c>
      <x:c r="M5" s="12" t="str">
        <x:v>Balança / informado</x:v>
      </x:c>
      <x:c r="N5" s="12" t="str">
        <x:v>Verde intenso</x:v>
      </x:c>
      <x:c r="O5" s="12" t="str">
        <x:v>Semi-transparente a translúcida</x:v>
      </x:c>
      <x:c r="P5" s="12" t="str"/>
      <x:c r="Q5" s="12" t="str">
        <x:v>Não avaliado / não informado</x:v>
      </x:c>
      <x:c r="R5" s="12" t="str">
        <x:v>Não</x:v>
      </x:c>
      <x:c r="S5" s="12" t="str"/>
      <x:c r="T5" s="12" t="str"/>
      <x:c r="U5" s="20"/>
      <x:c r="V5" s="20"/>
      <x:c r="W5" s="20"/>
      <x:c r="X5" s="20"/>
      <x:c r="Y5" s="20"/>
      <x:c r="Z5" s="20"/>
      <x:c r="AA5" s="20"/>
      <x:c r="AB5" s="12" t="str">
        <x:v>Pendente de precificação individual</x:v>
      </x:c>
      <x:c r="AC5" s="16" t="n">
        <x:v>8.9</x:v>
      </x:c>
      <x:c r="AD5" s="12" t="str">
        <x:v>A+</x:v>
      </x:c>
      <x:c r="AE5" s="12" t="str">
        <x:v>A definir</x:v>
      </x:c>
      <x:c r="AF5" s="12" t="str">
        <x:v>Pingente solitário / anel de luxo</x:v>
      </x:c>
      <x:c r="AG5" s="12" t="str">
        <x:v>Pingente solitário / anel de luxo</x:v>
      </x:c>
      <x:c r="AH5" s="12" t="str">
        <x:v>Coleção</x:v>
      </x:c>
      <x:c r="AI5" s="12" t="str"/>
      <x:c r="AJ5" s="12" t="str"/>
      <x:c r="AK5" s="12" t="str"/>
      <x:c r="AL5" s="12" t="str"/>
      <x:c r="AM5" s="12" t="str">
        <x:v>Não informado</x:v>
      </x:c>
      <x:c r="AN5" s="12" t="str"/>
      <x:c r="AO5" s="12" t="str">
        <x:v>2026-07-01</x:v>
      </x:c>
      <x:c r="AP5" s="12" t="str">
        <x:v>2026-07-19</x:v>
      </x:c>
      <x:c r="AQ5" s="12" t="str">
        <x:v>Alta</x:v>
      </x:c>
      <x:c r="AR5" s="12" t="str">
        <x:v>Inventário mestre completo atualizado em 2026-07-01</x:v>
      </x:c>
      <x:c r="AS5" s="12" t="str">
        <x:v>Precificação individual pendente</x:v>
      </x:c>
      <x:c r="AT5" s="12" t="str">
        <x:v>Avaliação visual; tratamentos não avaliados; confirmar naturalidade/tratamento em laboratório.</x:v>
      </x:c>
    </x:row>
    <x:row r="6">
      <x:c r="A6" s="12" t="str">
        <x:v>DG-EM-005</x:v>
      </x:c>
      <x:c r="B6" s="12" t="str"/>
      <x:c r="C6" s="12" t="str">
        <x:v>Emerald Collection</x:v>
      </x:c>
      <x:c r="D6" s="12" t="str">
        <x:v>Esmeraldas</x:v>
      </x:c>
      <x:c r="E6" s="12" t="str">
        <x:v>Berilo</x:v>
      </x:c>
      <x:c r="F6" s="12" t="str">
        <x:v>Esmeralda</x:v>
      </x:c>
      <x:c r="G6" s="12" t="str">
        <x:v>Gema individual</x:v>
      </x:c>
      <x:c r="H6" s="18" t="n">
        <x:v>1</x:v>
      </x:c>
      <x:c r="I6" s="12" t="str">
        <x:v>Cushion</x:v>
      </x:c>
      <x:c r="J6" s="12" t="str">
        <x:v>18 x 15 x 6</x:v>
      </x:c>
      <x:c r="K6" s="14" t="n">
        <x:v>17.095</x:v>
      </x:c>
      <x:c r="L6" s="12" t="str">
        <x:v>Sim</x:v>
      </x:c>
      <x:c r="M6" s="12" t="str">
        <x:v>Balança / informado</x:v>
      </x:c>
      <x:c r="N6" s="12" t="str">
        <x:v>Verde intenso frio</x:v>
      </x:c>
      <x:c r="O6" s="12" t="str">
        <x:v>Semi-transparente a translúcida</x:v>
      </x:c>
      <x:c r="P6" s="12" t="str"/>
      <x:c r="Q6" s="12" t="str">
        <x:v>Não avaliado / não informado</x:v>
      </x:c>
      <x:c r="R6" s="12" t="str">
        <x:v>Não</x:v>
      </x:c>
      <x:c r="S6" s="12" t="str"/>
      <x:c r="T6" s="12" t="str"/>
      <x:c r="U6" s="20"/>
      <x:c r="V6" s="20"/>
      <x:c r="W6" s="20"/>
      <x:c r="X6" s="20"/>
      <x:c r="Y6" s="20"/>
      <x:c r="Z6" s="20"/>
      <x:c r="AA6" s="20"/>
      <x:c r="AB6" s="12" t="str">
        <x:v>Pendente de precificação individual</x:v>
      </x:c>
      <x:c r="AC6" s="16" t="n">
        <x:v>9</x:v>
      </x:c>
      <x:c r="AD6" s="12" t="str">
        <x:v>A+ Premium</x:v>
      </x:c>
      <x:c r="AE6" s="12" t="str">
        <x:v>A definir</x:v>
      </x:c>
      <x:c r="AF6" s="12" t="str">
        <x:v>Anel masculino luxo / pingente impacto</x:v>
      </x:c>
      <x:c r="AG6" s="12" t="str">
        <x:v>Anel masculino luxo / pingente impacto</x:v>
      </x:c>
      <x:c r="AH6" s="12" t="str">
        <x:v>Coleção</x:v>
      </x:c>
      <x:c r="AI6" s="12" t="str"/>
      <x:c r="AJ6" s="12" t="str"/>
      <x:c r="AK6" s="12" t="str"/>
      <x:c r="AL6" s="12" t="str"/>
      <x:c r="AM6" s="12" t="str">
        <x:v>Não informado</x:v>
      </x:c>
      <x:c r="AN6" s="12" t="str"/>
      <x:c r="AO6" s="12" t="str">
        <x:v>2026-07-01</x:v>
      </x:c>
      <x:c r="AP6" s="12" t="str">
        <x:v>2026-07-19</x:v>
      </x:c>
      <x:c r="AQ6" s="12" t="str">
        <x:v>Alta</x:v>
      </x:c>
      <x:c r="AR6" s="12" t="str">
        <x:v>Inventário mestre completo atualizado em 2026-07-01</x:v>
      </x:c>
      <x:c r="AS6" s="12" t="str">
        <x:v>Precificação individual pendente</x:v>
      </x:c>
      <x:c r="AT6" s="12" t="str">
        <x:v>Avaliação visual; tratamentos não avaliados; confirmar naturalidade/tratamento em laboratório.</x:v>
      </x:c>
    </x:row>
    <x:row r="7">
      <x:c r="A7" s="12" t="str">
        <x:v>DG-EM-006</x:v>
      </x:c>
      <x:c r="B7" s="12" t="str"/>
      <x:c r="C7" s="12" t="str">
        <x:v>Emerald Collection</x:v>
      </x:c>
      <x:c r="D7" s="12" t="str">
        <x:v>Esmeraldas</x:v>
      </x:c>
      <x:c r="E7" s="12" t="str">
        <x:v>Berilo</x:v>
      </x:c>
      <x:c r="F7" s="12" t="str">
        <x:v>Esmeralda</x:v>
      </x:c>
      <x:c r="G7" s="12" t="str">
        <x:v>Gema individual</x:v>
      </x:c>
      <x:c r="H7" s="18" t="n">
        <x:v>1</x:v>
      </x:c>
      <x:c r="I7" s="12" t="str">
        <x:v>Coração</x:v>
      </x:c>
      <x:c r="J7" s="12" t="str">
        <x:v>12 x 10 x 4</x:v>
      </x:c>
      <x:c r="K7" s="14" t="n">
        <x:v>3.04</x:v>
      </x:c>
      <x:c r="L7" s="12" t="str">
        <x:v>Sim</x:v>
      </x:c>
      <x:c r="M7" s="12" t="str">
        <x:v>Balança / informado</x:v>
      </x:c>
      <x:c r="N7" s="12" t="str">
        <x:v>Verde claro vivo</x:v>
      </x:c>
      <x:c r="O7" s="12" t="str">
        <x:v>Semi-transparente a translúcida</x:v>
      </x:c>
      <x:c r="P7" s="12" t="str"/>
      <x:c r="Q7" s="12" t="str">
        <x:v>Não avaliado / não informado</x:v>
      </x:c>
      <x:c r="R7" s="12" t="str">
        <x:v>Não</x:v>
      </x:c>
      <x:c r="S7" s="12" t="str"/>
      <x:c r="T7" s="12" t="str"/>
      <x:c r="U7" s="20"/>
      <x:c r="V7" s="20"/>
      <x:c r="W7" s="20"/>
      <x:c r="X7" s="20"/>
      <x:c r="Y7" s="20"/>
      <x:c r="Z7" s="20"/>
      <x:c r="AA7" s="20"/>
      <x:c r="AB7" s="12" t="str">
        <x:v>Pendente de precificação individual</x:v>
      </x:c>
      <x:c r="AC7" s="16" t="n">
        <x:v>8.5</x:v>
      </x:c>
      <x:c r="AD7" s="12" t="str">
        <x:v>A</x:v>
      </x:c>
      <x:c r="AE7" s="12" t="str">
        <x:v>A definir</x:v>
      </x:c>
      <x:c r="AF7" s="12" t="str">
        <x:v>Pingente coração / anel romântico</x:v>
      </x:c>
      <x:c r="AG7" s="12" t="str">
        <x:v>Pingente coração / anel romântico</x:v>
      </x:c>
      <x:c r="AH7" s="12" t="str">
        <x:v>Coleção</x:v>
      </x:c>
      <x:c r="AI7" s="12" t="str"/>
      <x:c r="AJ7" s="12" t="str"/>
      <x:c r="AK7" s="12" t="str"/>
      <x:c r="AL7" s="12" t="str"/>
      <x:c r="AM7" s="12" t="str">
        <x:v>Não informado</x:v>
      </x:c>
      <x:c r="AN7" s="12" t="str"/>
      <x:c r="AO7" s="12" t="str">
        <x:v>2026-07-01</x:v>
      </x:c>
      <x:c r="AP7" s="12" t="str">
        <x:v>2026-07-19</x:v>
      </x:c>
      <x:c r="AQ7" s="12" t="str">
        <x:v>Alta</x:v>
      </x:c>
      <x:c r="AR7" s="12" t="str">
        <x:v>Inventário mestre completo atualizado em 2026-07-01</x:v>
      </x:c>
      <x:c r="AS7" s="12" t="str">
        <x:v>Precificação individual pendente</x:v>
      </x:c>
      <x:c r="AT7" s="12" t="str">
        <x:v>Avaliação visual; tratamentos não avaliados; confirmar naturalidade/tratamento em laboratório.</x:v>
      </x:c>
    </x:row>
    <x:row r="8">
      <x:c r="A8" s="12" t="str">
        <x:v>DG-EM-007</x:v>
      </x:c>
      <x:c r="B8" s="12" t="str"/>
      <x:c r="C8" s="12" t="str">
        <x:v>Emerald Collection</x:v>
      </x:c>
      <x:c r="D8" s="12" t="str">
        <x:v>Esmeraldas</x:v>
      </x:c>
      <x:c r="E8" s="12" t="str">
        <x:v>Berilo</x:v>
      </x:c>
      <x:c r="F8" s="12" t="str">
        <x:v>Esmeralda</x:v>
      </x:c>
      <x:c r="G8" s="12" t="str">
        <x:v>Gema individual</x:v>
      </x:c>
      <x:c r="H8" s="18" t="n">
        <x:v>1</x:v>
      </x:c>
      <x:c r="I8" s="12" t="str">
        <x:v>Oval</x:v>
      </x:c>
      <x:c r="J8" s="12" t="str">
        <x:v>10 x 7 x 3</x:v>
      </x:c>
      <x:c r="K8" s="14" t="n">
        <x:v>2.87</x:v>
      </x:c>
      <x:c r="L8" s="12" t="str">
        <x:v>Sim</x:v>
      </x:c>
      <x:c r="M8" s="12" t="str">
        <x:v>Balança / informado</x:v>
      </x:c>
      <x:c r="N8" s="12" t="str">
        <x:v>Verde médio azulado</x:v>
      </x:c>
      <x:c r="O8" s="12" t="str">
        <x:v>Semi-transparente a translúcida</x:v>
      </x:c>
      <x:c r="P8" s="12" t="str"/>
      <x:c r="Q8" s="12" t="str">
        <x:v>Não avaliado / não informado</x:v>
      </x:c>
      <x:c r="R8" s="12" t="str">
        <x:v>Não</x:v>
      </x:c>
      <x:c r="S8" s="12" t="str"/>
      <x:c r="T8" s="12" t="str"/>
      <x:c r="U8" s="20"/>
      <x:c r="V8" s="20"/>
      <x:c r="W8" s="20"/>
      <x:c r="X8" s="20"/>
      <x:c r="Y8" s="20"/>
      <x:c r="Z8" s="20"/>
      <x:c r="AA8" s="20"/>
      <x:c r="AB8" s="12" t="str">
        <x:v>Pendente de precificação individual</x:v>
      </x:c>
      <x:c r="AC8" s="16" t="n">
        <x:v>8.4</x:v>
      </x:c>
      <x:c r="AD8" s="12" t="str">
        <x:v>A</x:v>
      </x:c>
      <x:c r="AE8" s="12" t="str">
        <x:v>A definir</x:v>
      </x:c>
      <x:c r="AF8" s="12" t="str">
        <x:v>Anel delicado / pingente</x:v>
      </x:c>
      <x:c r="AG8" s="12" t="str">
        <x:v>Anel delicado / pingente</x:v>
      </x:c>
      <x:c r="AH8" s="12" t="str">
        <x:v>Coleção</x:v>
      </x:c>
      <x:c r="AI8" s="12" t="str"/>
      <x:c r="AJ8" s="12" t="str"/>
      <x:c r="AK8" s="12" t="str"/>
      <x:c r="AL8" s="12" t="str"/>
      <x:c r="AM8" s="12" t="str">
        <x:v>Não informado</x:v>
      </x:c>
      <x:c r="AN8" s="12" t="str"/>
      <x:c r="AO8" s="12" t="str">
        <x:v>2026-07-01</x:v>
      </x:c>
      <x:c r="AP8" s="12" t="str">
        <x:v>2026-07-19</x:v>
      </x:c>
      <x:c r="AQ8" s="12" t="str">
        <x:v>Alta</x:v>
      </x:c>
      <x:c r="AR8" s="12" t="str">
        <x:v>Inventário mestre completo atualizado em 2026-07-01</x:v>
      </x:c>
      <x:c r="AS8" s="12" t="str">
        <x:v>Precificação individual pendente</x:v>
      </x:c>
      <x:c r="AT8" s="12" t="str">
        <x:v>Avaliação visual; tratamentos não avaliados; confirmar naturalidade/tratamento em laboratório.</x:v>
      </x:c>
    </x:row>
    <x:row r="9">
      <x:c r="A9" s="12" t="str">
        <x:v>DG-EM-008</x:v>
      </x:c>
      <x:c r="B9" s="12" t="str"/>
      <x:c r="C9" s="12" t="str">
        <x:v>Emerald Collection</x:v>
      </x:c>
      <x:c r="D9" s="12" t="str">
        <x:v>Esmeraldas</x:v>
      </x:c>
      <x:c r="E9" s="12" t="str">
        <x:v>Berilo</x:v>
      </x:c>
      <x:c r="F9" s="12" t="str">
        <x:v>Esmeralda</x:v>
      </x:c>
      <x:c r="G9" s="12" t="str">
        <x:v>Gema individual</x:v>
      </x:c>
      <x:c r="H9" s="18" t="n">
        <x:v>1</x:v>
      </x:c>
      <x:c r="I9" s="12" t="str">
        <x:v>Emerald Cut</x:v>
      </x:c>
      <x:c r="J9" s="12" t="str">
        <x:v>13 x 10 x 5</x:v>
      </x:c>
      <x:c r="K9" s="14" t="n">
        <x:v>7.5</x:v>
      </x:c>
      <x:c r="L9" s="12" t="str">
        <x:v>Sim</x:v>
      </x:c>
      <x:c r="M9" s="12" t="str">
        <x:v>Balança / informado</x:v>
      </x:c>
      <x:c r="N9" s="12" t="str">
        <x:v>Verde profundo</x:v>
      </x:c>
      <x:c r="O9" s="12" t="str">
        <x:v>Semi-transparente a translúcida</x:v>
      </x:c>
      <x:c r="P9" s="12" t="str"/>
      <x:c r="Q9" s="12" t="str">
        <x:v>Não avaliado / não informado</x:v>
      </x:c>
      <x:c r="R9" s="12" t="str">
        <x:v>Não</x:v>
      </x:c>
      <x:c r="S9" s="12" t="str"/>
      <x:c r="T9" s="12" t="str"/>
      <x:c r="U9" s="20"/>
      <x:c r="V9" s="20"/>
      <x:c r="W9" s="20"/>
      <x:c r="X9" s="20"/>
      <x:c r="Y9" s="20"/>
      <x:c r="Z9" s="20"/>
      <x:c r="AA9" s="20"/>
      <x:c r="AB9" s="12" t="str">
        <x:v>Pendente de precificação individual</x:v>
      </x:c>
      <x:c r="AC9" s="16" t="n">
        <x:v>8.8</x:v>
      </x:c>
      <x:c r="AD9" s="12" t="str">
        <x:v>A+</x:v>
      </x:c>
      <x:c r="AE9" s="12" t="str">
        <x:v>A definir</x:v>
      </x:c>
      <x:c r="AF9" s="12" t="str">
        <x:v>Anel masculino premium / Art Déco</x:v>
      </x:c>
      <x:c r="AG9" s="12" t="str">
        <x:v>Anel masculino premium / Art Déco</x:v>
      </x:c>
      <x:c r="AH9" s="12" t="str">
        <x:v>Coleção</x:v>
      </x:c>
      <x:c r="AI9" s="12" t="str"/>
      <x:c r="AJ9" s="12" t="str"/>
      <x:c r="AK9" s="12" t="str"/>
      <x:c r="AL9" s="12" t="str"/>
      <x:c r="AM9" s="12" t="str">
        <x:v>Não informado</x:v>
      </x:c>
      <x:c r="AN9" s="12" t="str"/>
      <x:c r="AO9" s="12" t="str">
        <x:v>2026-07-01</x:v>
      </x:c>
      <x:c r="AP9" s="12" t="str">
        <x:v>2026-07-19</x:v>
      </x:c>
      <x:c r="AQ9" s="12" t="str">
        <x:v>Alta</x:v>
      </x:c>
      <x:c r="AR9" s="12" t="str">
        <x:v>Inventário mestre completo atualizado em 2026-07-01</x:v>
      </x:c>
      <x:c r="AS9" s="12" t="str">
        <x:v>Precificação individual pendente</x:v>
      </x:c>
      <x:c r="AT9" s="12" t="str">
        <x:v>Avaliação visual; tratamentos não avaliados; confirmar naturalidade/tratamento em laboratório.</x:v>
      </x:c>
    </x:row>
    <x:row r="10">
      <x:c r="A10" s="12" t="str">
        <x:v>DG-EM-009</x:v>
      </x:c>
      <x:c r="B10" s="12" t="str"/>
      <x:c r="C10" s="12" t="str">
        <x:v>Emerald Collection</x:v>
      </x:c>
      <x:c r="D10" s="12" t="str">
        <x:v>Esmeraldas</x:v>
      </x:c>
      <x:c r="E10" s="12" t="str">
        <x:v>Berilo</x:v>
      </x:c>
      <x:c r="F10" s="12" t="str">
        <x:v>Esmeralda</x:v>
      </x:c>
      <x:c r="G10" s="12" t="str">
        <x:v>Gema individual</x:v>
      </x:c>
      <x:c r="H10" s="18" t="n">
        <x:v>1</x:v>
      </x:c>
      <x:c r="I10" s="12" t="str">
        <x:v>Emerald Cut</x:v>
      </x:c>
      <x:c r="J10" s="12" t="str">
        <x:v>13 x 10 x 4</x:v>
      </x:c>
      <x:c r="K10" s="14" t="n">
        <x:v>5.36</x:v>
      </x:c>
      <x:c r="L10" s="12" t="str">
        <x:v>Sim</x:v>
      </x:c>
      <x:c r="M10" s="12" t="str">
        <x:v>Balança / informado</x:v>
      </x:c>
      <x:c r="N10" s="12" t="str">
        <x:v>Verde vivo</x:v>
      </x:c>
      <x:c r="O10" s="12" t="str">
        <x:v>Semi-transparente a translúcida</x:v>
      </x:c>
      <x:c r="P10" s="12" t="str"/>
      <x:c r="Q10" s="12" t="str">
        <x:v>Não avaliado / não informado</x:v>
      </x:c>
      <x:c r="R10" s="12" t="str">
        <x:v>Não</x:v>
      </x:c>
      <x:c r="S10" s="12" t="str"/>
      <x:c r="T10" s="12" t="str"/>
      <x:c r="U10" s="20"/>
      <x:c r="V10" s="20"/>
      <x:c r="W10" s="20"/>
      <x:c r="X10" s="20"/>
      <x:c r="Y10" s="20"/>
      <x:c r="Z10" s="20"/>
      <x:c r="AA10" s="20"/>
      <x:c r="AB10" s="12" t="str">
        <x:v>Pendente de precificação individual</x:v>
      </x:c>
      <x:c r="AC10" s="16" t="n">
        <x:v>8.7</x:v>
      </x:c>
      <x:c r="AD10" s="12" t="str">
        <x:v>A</x:v>
      </x:c>
      <x:c r="AE10" s="12" t="str">
        <x:v>A definir</x:v>
      </x:c>
      <x:c r="AF10" s="12" t="str">
        <x:v>Anel clássico / pingente halo</x:v>
      </x:c>
      <x:c r="AG10" s="12" t="str">
        <x:v>Anel clássico / pingente halo</x:v>
      </x:c>
      <x:c r="AH10" s="12" t="str">
        <x:v>Coleção</x:v>
      </x:c>
      <x:c r="AI10" s="12" t="str"/>
      <x:c r="AJ10" s="12" t="str"/>
      <x:c r="AK10" s="12" t="str"/>
      <x:c r="AL10" s="12" t="str"/>
      <x:c r="AM10" s="12" t="str">
        <x:v>Não informado</x:v>
      </x:c>
      <x:c r="AN10" s="12" t="str"/>
      <x:c r="AO10" s="12" t="str">
        <x:v>2026-07-01</x:v>
      </x:c>
      <x:c r="AP10" s="12" t="str">
        <x:v>2026-07-19</x:v>
      </x:c>
      <x:c r="AQ10" s="12" t="str">
        <x:v>Alta</x:v>
      </x:c>
      <x:c r="AR10" s="12" t="str">
        <x:v>Inventário mestre completo atualizado em 2026-07-01</x:v>
      </x:c>
      <x:c r="AS10" s="12" t="str">
        <x:v>Precificação individual pendente</x:v>
      </x:c>
      <x:c r="AT10" s="12" t="str">
        <x:v>Avaliação visual; tratamentos não avaliados; confirmar naturalidade/tratamento em laboratório.</x:v>
      </x:c>
    </x:row>
    <x:row r="11">
      <x:c r="A11" s="12" t="str">
        <x:v>DG-EM-010</x:v>
      </x:c>
      <x:c r="B11" s="12" t="str"/>
      <x:c r="C11" s="12" t="str">
        <x:v>Emerald Collection</x:v>
      </x:c>
      <x:c r="D11" s="12" t="str">
        <x:v>Esmeraldas</x:v>
      </x:c>
      <x:c r="E11" s="12" t="str">
        <x:v>Berilo</x:v>
      </x:c>
      <x:c r="F11" s="12" t="str">
        <x:v>Esmeralda</x:v>
      </x:c>
      <x:c r="G11" s="12" t="str">
        <x:v>Gema individual</x:v>
      </x:c>
      <x:c r="H11" s="18" t="n">
        <x:v>1</x:v>
      </x:c>
      <x:c r="I11" s="12" t="str">
        <x:v>Gota</x:v>
      </x:c>
      <x:c r="J11" s="12" t="str">
        <x:v>15 x 11 x 5</x:v>
      </x:c>
      <x:c r="K11" s="14" t="n">
        <x:v>6.075</x:v>
      </x:c>
      <x:c r="L11" s="12" t="str">
        <x:v>Sim</x:v>
      </x:c>
      <x:c r="M11" s="12" t="str">
        <x:v>Balança / informado</x:v>
      </x:c>
      <x:c r="N11" s="12" t="str">
        <x:v>Verde saturado uniforme</x:v>
      </x:c>
      <x:c r="O11" s="12" t="str">
        <x:v>Semi-transparente a translúcida</x:v>
      </x:c>
      <x:c r="P11" s="12" t="str"/>
      <x:c r="Q11" s="12" t="str">
        <x:v>Não avaliado / não informado</x:v>
      </x:c>
      <x:c r="R11" s="12" t="str">
        <x:v>Não</x:v>
      </x:c>
      <x:c r="S11" s="12" t="str"/>
      <x:c r="T11" s="12" t="str"/>
      <x:c r="U11" s="20"/>
      <x:c r="V11" s="20"/>
      <x:c r="W11" s="20"/>
      <x:c r="X11" s="20"/>
      <x:c r="Y11" s="20"/>
      <x:c r="Z11" s="20"/>
      <x:c r="AA11" s="20"/>
      <x:c r="AB11" s="12" t="str">
        <x:v>Pendente de precificação individual</x:v>
      </x:c>
      <x:c r="AC11" s="16" t="n">
        <x:v>9.1</x:v>
      </x:c>
      <x:c r="AD11" s="12" t="str">
        <x:v>A+</x:v>
      </x:c>
      <x:c r="AE11" s="12" t="str">
        <x:v>A definir</x:v>
      </x:c>
      <x:c r="AF11" s="12" t="str">
        <x:v>Pingente alto padrão / anel solitário</x:v>
      </x:c>
      <x:c r="AG11" s="12" t="str">
        <x:v>Pingente alto padrão / anel solitário</x:v>
      </x:c>
      <x:c r="AH11" s="12" t="str">
        <x:v>Coleção</x:v>
      </x:c>
      <x:c r="AI11" s="12" t="str"/>
      <x:c r="AJ11" s="12" t="str"/>
      <x:c r="AK11" s="12" t="str"/>
      <x:c r="AL11" s="12" t="str"/>
      <x:c r="AM11" s="12" t="str">
        <x:v>Não informado</x:v>
      </x:c>
      <x:c r="AN11" s="12" t="str"/>
      <x:c r="AO11" s="12" t="str">
        <x:v>2026-07-01</x:v>
      </x:c>
      <x:c r="AP11" s="12" t="str">
        <x:v>2026-07-19</x:v>
      </x:c>
      <x:c r="AQ11" s="12" t="str">
        <x:v>Alta</x:v>
      </x:c>
      <x:c r="AR11" s="12" t="str">
        <x:v>Inventário mestre completo atualizado em 2026-07-01</x:v>
      </x:c>
      <x:c r="AS11" s="12" t="str">
        <x:v>Precificação individual pendente</x:v>
      </x:c>
      <x:c r="AT11" s="12" t="str">
        <x:v>Avaliação visual; tratamentos não avaliados; confirmar naturalidade/tratamento em laboratório.</x:v>
      </x:c>
    </x:row>
    <x:row r="12">
      <x:c r="A12" s="12" t="str">
        <x:v>DG-EM-011</x:v>
      </x:c>
      <x:c r="B12" s="12" t="str"/>
      <x:c r="C12" s="12" t="str">
        <x:v>Emerald Collection</x:v>
      </x:c>
      <x:c r="D12" s="12" t="str">
        <x:v>Esmeraldas</x:v>
      </x:c>
      <x:c r="E12" s="12" t="str">
        <x:v>Berilo</x:v>
      </x:c>
      <x:c r="F12" s="12" t="str">
        <x:v>Esmeralda</x:v>
      </x:c>
      <x:c r="G12" s="12" t="str">
        <x:v>Gema individual</x:v>
      </x:c>
      <x:c r="H12" s="18" t="n">
        <x:v>1</x:v>
      </x:c>
      <x:c r="I12" s="12" t="str">
        <x:v>Octogonal / Emerald Cut modificado</x:v>
      </x:c>
      <x:c r="J12" s="12" t="str">
        <x:v>10 x 11 x 9</x:v>
      </x:c>
      <x:c r="K12" s="14" t="n">
        <x:v>7.81</x:v>
      </x:c>
      <x:c r="L12" s="12" t="str">
        <x:v>Sim</x:v>
      </x:c>
      <x:c r="M12" s="12" t="str">
        <x:v>Balança / informado</x:v>
      </x:c>
      <x:c r="N12" s="12" t="str">
        <x:v>Verde intenso homogêneo</x:v>
      </x:c>
      <x:c r="O12" s="12" t="str">
        <x:v>Semi-transparente a translúcida</x:v>
      </x:c>
      <x:c r="P12" s="12" t="str"/>
      <x:c r="Q12" s="12" t="str">
        <x:v>Não avaliado / não informado</x:v>
      </x:c>
      <x:c r="R12" s="12" t="str">
        <x:v>Não</x:v>
      </x:c>
      <x:c r="S12" s="12" t="str"/>
      <x:c r="T12" s="12" t="str"/>
      <x:c r="U12" s="20"/>
      <x:c r="V12" s="20"/>
      <x:c r="W12" s="20"/>
      <x:c r="X12" s="20"/>
      <x:c r="Y12" s="20"/>
      <x:c r="Z12" s="20"/>
      <x:c r="AA12" s="20"/>
      <x:c r="AB12" s="12" t="str">
        <x:v>Pendente de precificação individual</x:v>
      </x:c>
      <x:c r="AC12" s="16" t="n">
        <x:v>8.9</x:v>
      </x:c>
      <x:c r="AD12" s="12" t="str">
        <x:v>A+ Premium</x:v>
      </x:c>
      <x:c r="AE12" s="12" t="str">
        <x:v>A definir</x:v>
      </x:c>
      <x:c r="AF12" s="12" t="str">
        <x:v>Anel masculino luxo / pingente clássico</x:v>
      </x:c>
      <x:c r="AG12" s="12" t="str">
        <x:v>Anel masculino luxo / pingente clássico</x:v>
      </x:c>
      <x:c r="AH12" s="12" t="str">
        <x:v>Coleção</x:v>
      </x:c>
      <x:c r="AI12" s="12" t="str"/>
      <x:c r="AJ12" s="12" t="str"/>
      <x:c r="AK12" s="12" t="str"/>
      <x:c r="AL12" s="12" t="str"/>
      <x:c r="AM12" s="12" t="str">
        <x:v>Não informado</x:v>
      </x:c>
      <x:c r="AN12" s="12" t="str"/>
      <x:c r="AO12" s="12" t="str">
        <x:v>2026-07-01</x:v>
      </x:c>
      <x:c r="AP12" s="12" t="str">
        <x:v>2026-07-19</x:v>
      </x:c>
      <x:c r="AQ12" s="12" t="str">
        <x:v>Alta</x:v>
      </x:c>
      <x:c r="AR12" s="12" t="str">
        <x:v>Inventário mestre completo atualizado em 2026-07-01</x:v>
      </x:c>
      <x:c r="AS12" s="12" t="str">
        <x:v>Precificação individual pendente</x:v>
      </x:c>
      <x:c r="AT12" s="12" t="str">
        <x:v>Avaliação visual; tratamentos não avaliados; confirmar naturalidade/tratamento em laboratório.</x:v>
      </x:c>
    </x:row>
    <x:row r="13">
      <x:c r="A13" s="12" t="str">
        <x:v>DG-EM-012</x:v>
      </x:c>
      <x:c r="B13" s="12" t="str"/>
      <x:c r="C13" s="12" t="str">
        <x:v>Emerald Collection</x:v>
      </x:c>
      <x:c r="D13" s="12" t="str">
        <x:v>Esmeraldas</x:v>
      </x:c>
      <x:c r="E13" s="12" t="str">
        <x:v>Berilo</x:v>
      </x:c>
      <x:c r="F13" s="12" t="str">
        <x:v>Esmeralda</x:v>
      </x:c>
      <x:c r="G13" s="12" t="str">
        <x:v>Gema individual</x:v>
      </x:c>
      <x:c r="H13" s="18" t="n">
        <x:v>1</x:v>
      </x:c>
      <x:c r="I13" s="12" t="str">
        <x:v>Gota alongada</x:v>
      </x:c>
      <x:c r="J13" s="12" t="str">
        <x:v>16 x 9 x 6</x:v>
      </x:c>
      <x:c r="K13" s="14" t="n">
        <x:v>5.24</x:v>
      </x:c>
      <x:c r="L13" s="12" t="str">
        <x:v>Sim</x:v>
      </x:c>
      <x:c r="M13" s="12" t="str">
        <x:v>Balança / informado</x:v>
      </x:c>
      <x:c r="N13" s="12" t="str">
        <x:v>Verde levemente azulado vivo</x:v>
      </x:c>
      <x:c r="O13" s="12" t="str">
        <x:v>Semi-transparente a translúcida</x:v>
      </x:c>
      <x:c r="P13" s="12" t="str"/>
      <x:c r="Q13" s="12" t="str">
        <x:v>Não avaliado / não informado</x:v>
      </x:c>
      <x:c r="R13" s="12" t="str">
        <x:v>Não</x:v>
      </x:c>
      <x:c r="S13" s="12" t="str"/>
      <x:c r="T13" s="12" t="str"/>
      <x:c r="U13" s="20"/>
      <x:c r="V13" s="20"/>
      <x:c r="W13" s="20"/>
      <x:c r="X13" s="20"/>
      <x:c r="Y13" s="20"/>
      <x:c r="Z13" s="20"/>
      <x:c r="AA13" s="20"/>
      <x:c r="AB13" s="12" t="str">
        <x:v>Pendente de precificação individual</x:v>
      </x:c>
      <x:c r="AC13" s="16" t="n">
        <x:v>8.6</x:v>
      </x:c>
      <x:c r="AD13" s="12" t="str">
        <x:v>A</x:v>
      </x:c>
      <x:c r="AE13" s="12" t="str">
        <x:v>A definir</x:v>
      </x:c>
      <x:c r="AF13" s="12" t="str">
        <x:v>Pingente gota / anel</x:v>
      </x:c>
      <x:c r="AG13" s="12" t="str">
        <x:v>Pingente gota / anel</x:v>
      </x:c>
      <x:c r="AH13" s="12" t="str">
        <x:v>Coleção</x:v>
      </x:c>
      <x:c r="AI13" s="12" t="str"/>
      <x:c r="AJ13" s="12" t="str"/>
      <x:c r="AK13" s="12" t="str"/>
      <x:c r="AL13" s="12" t="str"/>
      <x:c r="AM13" s="12" t="str">
        <x:v>Não informado</x:v>
      </x:c>
      <x:c r="AN13" s="12" t="str"/>
      <x:c r="AO13" s="12" t="str">
        <x:v>2026-07-01</x:v>
      </x:c>
      <x:c r="AP13" s="12" t="str">
        <x:v>2026-07-19</x:v>
      </x:c>
      <x:c r="AQ13" s="12" t="str">
        <x:v>Alta</x:v>
      </x:c>
      <x:c r="AR13" s="12" t="str">
        <x:v>Inventário mestre completo atualizado em 2026-07-01</x:v>
      </x:c>
      <x:c r="AS13" s="12" t="str">
        <x:v>Precificação individual pendente</x:v>
      </x:c>
      <x:c r="AT13" s="12" t="str">
        <x:v>Avaliação visual; tratamentos não avaliados; confirmar naturalidade/tratamento em laboratório.</x:v>
      </x:c>
    </x:row>
    <x:row r="14">
      <x:c r="A14" s="12" t="str">
        <x:v>DG-EM-013</x:v>
      </x:c>
      <x:c r="B14" s="12" t="str"/>
      <x:c r="C14" s="12" t="str">
        <x:v>Emerald Collection</x:v>
      </x:c>
      <x:c r="D14" s="12" t="str">
        <x:v>Esmeraldas</x:v>
      </x:c>
      <x:c r="E14" s="12" t="str">
        <x:v>Berilo</x:v>
      </x:c>
      <x:c r="F14" s="12" t="str">
        <x:v>Esmeralda</x:v>
      </x:c>
      <x:c r="G14" s="12" t="str">
        <x:v>Gema individual</x:v>
      </x:c>
      <x:c r="H14" s="18" t="n">
        <x:v>1</x:v>
      </x:c>
      <x:c r="I14" s="12" t="str">
        <x:v>Octogonal/Emerald Cut</x:v>
      </x:c>
      <x:c r="J14" s="12" t="str">
        <x:v>10 x 10 x 5</x:v>
      </x:c>
      <x:c r="K14" s="14" t="n">
        <x:v>5.855</x:v>
      </x:c>
      <x:c r="L14" s="12" t="str">
        <x:v>Sim</x:v>
      </x:c>
      <x:c r="M14" s="12" t="str">
        <x:v>Balança / informado</x:v>
      </x:c>
      <x:c r="N14" s="12" t="str">
        <x:v>Verde claro acinzentado</x:v>
      </x:c>
      <x:c r="O14" s="12" t="str">
        <x:v>Semi-transparente a translúcida</x:v>
      </x:c>
      <x:c r="P14" s="12" t="str"/>
      <x:c r="Q14" s="12" t="str">
        <x:v>Não avaliado / não informado</x:v>
      </x:c>
      <x:c r="R14" s="12" t="str">
        <x:v>Não</x:v>
      </x:c>
      <x:c r="S14" s="12" t="str"/>
      <x:c r="T14" s="12" t="str"/>
      <x:c r="U14" s="20"/>
      <x:c r="V14" s="20"/>
      <x:c r="W14" s="20"/>
      <x:c r="X14" s="20"/>
      <x:c r="Y14" s="20"/>
      <x:c r="Z14" s="20"/>
      <x:c r="AA14" s="20"/>
      <x:c r="AB14" s="12" t="str">
        <x:v>Pendente de precificação individual</x:v>
      </x:c>
      <x:c r="AC14" s="16" t="n">
        <x:v>7.7</x:v>
      </x:c>
      <x:c r="AD14" s="12" t="str">
        <x:v>A</x:v>
      </x:c>
      <x:c r="AE14" s="12" t="str">
        <x:v>A definir</x:v>
      </x:c>
      <x:c r="AF14" s="12" t="str">
        <x:v>Anel ou pingente comercial</x:v>
      </x:c>
      <x:c r="AG14" s="12" t="str">
        <x:v>Anel ou pingente comercial</x:v>
      </x:c>
      <x:c r="AH14" s="12" t="str">
        <x:v>Coleção</x:v>
      </x:c>
      <x:c r="AI14" s="12" t="str"/>
      <x:c r="AJ14" s="12" t="str"/>
      <x:c r="AK14" s="12" t="str"/>
      <x:c r="AL14" s="12" t="str"/>
      <x:c r="AM14" s="12" t="str">
        <x:v>Não informado</x:v>
      </x:c>
      <x:c r="AN14" s="12" t="str"/>
      <x:c r="AO14" s="12" t="str">
        <x:v>2026-07-01</x:v>
      </x:c>
      <x:c r="AP14" s="12" t="str">
        <x:v>2026-07-19</x:v>
      </x:c>
      <x:c r="AQ14" s="12" t="str">
        <x:v>Alta</x:v>
      </x:c>
      <x:c r="AR14" s="12" t="str">
        <x:v>Inventário mestre completo atualizado em 2026-07-01</x:v>
      </x:c>
      <x:c r="AS14" s="12" t="str">
        <x:v>Precificação individual pendente</x:v>
      </x:c>
      <x:c r="AT14" s="12" t="str">
        <x:v>Avaliação visual; tratamentos não avaliados; confirmar naturalidade/tratamento em laboratório.</x:v>
      </x:c>
    </x:row>
    <x:row r="15">
      <x:c r="A15" s="12" t="str">
        <x:v>DG-EM-014</x:v>
      </x:c>
      <x:c r="B15" s="12" t="str"/>
      <x:c r="C15" s="12" t="str">
        <x:v>Emerald Collection</x:v>
      </x:c>
      <x:c r="D15" s="12" t="str">
        <x:v>Esmeraldas</x:v>
      </x:c>
      <x:c r="E15" s="12" t="str">
        <x:v>Berilo</x:v>
      </x:c>
      <x:c r="F15" s="12" t="str">
        <x:v>Esmeralda</x:v>
      </x:c>
      <x:c r="G15" s="12" t="str">
        <x:v>Gema individual</x:v>
      </x:c>
      <x:c r="H15" s="18" t="n">
        <x:v>1</x:v>
      </x:c>
      <x:c r="I15" s="12" t="str">
        <x:v>Gota</x:v>
      </x:c>
      <x:c r="J15" s="12" t="str">
        <x:v>10 x 9 x 4</x:v>
      </x:c>
      <x:c r="K15" s="14" t="n">
        <x:v>2.46</x:v>
      </x:c>
      <x:c r="L15" s="12" t="str">
        <x:v>Sim</x:v>
      </x:c>
      <x:c r="M15" s="12" t="str">
        <x:v>Balança / informado</x:v>
      </x:c>
      <x:c r="N15" s="12" t="str">
        <x:v>Verde vivo</x:v>
      </x:c>
      <x:c r="O15" s="12" t="str">
        <x:v>Semi-transparente a translúcida</x:v>
      </x:c>
      <x:c r="P15" s="12" t="str"/>
      <x:c r="Q15" s="12" t="str">
        <x:v>Não avaliado / não informado</x:v>
      </x:c>
      <x:c r="R15" s="12" t="str">
        <x:v>Não</x:v>
      </x:c>
      <x:c r="S15" s="12" t="str"/>
      <x:c r="T15" s="12" t="str"/>
      <x:c r="U15" s="20"/>
      <x:c r="V15" s="20"/>
      <x:c r="W15" s="20"/>
      <x:c r="X15" s="20"/>
      <x:c r="Y15" s="20"/>
      <x:c r="Z15" s="20"/>
      <x:c r="AA15" s="20"/>
      <x:c r="AB15" s="12" t="str">
        <x:v>Pendente de precificação individual</x:v>
      </x:c>
      <x:c r="AC15" s="16" t="n">
        <x:v>8</x:v>
      </x:c>
      <x:c r="AD15" s="12" t="str">
        <x:v>A-</x:v>
      </x:c>
      <x:c r="AE15" s="12" t="str">
        <x:v>A definir</x:v>
      </x:c>
      <x:c r="AF15" s="12" t="str">
        <x:v>Anel solitário / pingente delicado</x:v>
      </x:c>
      <x:c r="AG15" s="12" t="str">
        <x:v>Anel solitário / pingente delicado</x:v>
      </x:c>
      <x:c r="AH15" s="12" t="str">
        <x:v>Coleção</x:v>
      </x:c>
      <x:c r="AI15" s="12" t="str"/>
      <x:c r="AJ15" s="12" t="str"/>
      <x:c r="AK15" s="12" t="str"/>
      <x:c r="AL15" s="12" t="str"/>
      <x:c r="AM15" s="12" t="str">
        <x:v>Não informado</x:v>
      </x:c>
      <x:c r="AN15" s="12" t="str"/>
      <x:c r="AO15" s="12" t="str">
        <x:v>2026-07-01</x:v>
      </x:c>
      <x:c r="AP15" s="12" t="str">
        <x:v>2026-07-19</x:v>
      </x:c>
      <x:c r="AQ15" s="12" t="str">
        <x:v>Alta</x:v>
      </x:c>
      <x:c r="AR15" s="12" t="str">
        <x:v>Inventário mestre completo atualizado em 2026-07-01</x:v>
      </x:c>
      <x:c r="AS15" s="12" t="str">
        <x:v>Precificação individual pendente</x:v>
      </x:c>
      <x:c r="AT15" s="12" t="str">
        <x:v>Avaliação visual; tratamentos não avaliados; confirmar naturalidade/tratamento em laboratório.</x:v>
      </x:c>
    </x:row>
    <x:row r="16">
      <x:c r="A16" s="12" t="str">
        <x:v>DG-EM-015</x:v>
      </x:c>
      <x:c r="B16" s="12" t="str"/>
      <x:c r="C16" s="12" t="str">
        <x:v>Emerald Collection</x:v>
      </x:c>
      <x:c r="D16" s="12" t="str">
        <x:v>Esmeraldas</x:v>
      </x:c>
      <x:c r="E16" s="12" t="str">
        <x:v>Berilo</x:v>
      </x:c>
      <x:c r="F16" s="12" t="str">
        <x:v>Esmeralda</x:v>
      </x:c>
      <x:c r="G16" s="12" t="str">
        <x:v>Gema individual</x:v>
      </x:c>
      <x:c r="H16" s="18" t="n">
        <x:v>1</x:v>
      </x:c>
      <x:c r="I16" s="12" t="str">
        <x:v>Octogonal / Emerald Cut modificada</x:v>
      </x:c>
      <x:c r="J16" s="12" t="str">
        <x:v>10 x 9 x 3</x:v>
      </x:c>
      <x:c r="K16" s="14" t="n">
        <x:v>3.76</x:v>
      </x:c>
      <x:c r="L16" s="12" t="str">
        <x:v>Sim</x:v>
      </x:c>
      <x:c r="M16" s="12" t="str">
        <x:v>Balança / informado</x:v>
      </x:c>
      <x:c r="N16" s="12" t="str">
        <x:v>Verde médio/amarelado</x:v>
      </x:c>
      <x:c r="O16" s="12" t="str">
        <x:v>Semi-transparente a translúcida</x:v>
      </x:c>
      <x:c r="P16" s="12" t="str"/>
      <x:c r="Q16" s="12" t="str">
        <x:v>Não avaliado / não informado</x:v>
      </x:c>
      <x:c r="R16" s="12" t="str">
        <x:v>Não</x:v>
      </x:c>
      <x:c r="S16" s="12" t="str"/>
      <x:c r="T16" s="12" t="str"/>
      <x:c r="U16" s="20"/>
      <x:c r="V16" s="20"/>
      <x:c r="W16" s="20"/>
      <x:c r="X16" s="20"/>
      <x:c r="Y16" s="20"/>
      <x:c r="Z16" s="20"/>
      <x:c r="AA16" s="20"/>
      <x:c r="AB16" s="12" t="str">
        <x:v>Pendente de precificação individual</x:v>
      </x:c>
      <x:c r="AC16" s="16" t="n">
        <x:v>8</x:v>
      </x:c>
      <x:c r="AD16" s="12" t="str">
        <x:v>A</x:v>
      </x:c>
      <x:c r="AE16" s="12" t="str">
        <x:v>A definir</x:v>
      </x:c>
      <x:c r="AF16" s="12" t="str">
        <x:v>Anel masculino / pingente vintage</x:v>
      </x:c>
      <x:c r="AG16" s="12" t="str">
        <x:v>Anel masculino / pingente vintage</x:v>
      </x:c>
      <x:c r="AH16" s="12" t="str">
        <x:v>Coleção</x:v>
      </x:c>
      <x:c r="AI16" s="12" t="str"/>
      <x:c r="AJ16" s="12" t="str"/>
      <x:c r="AK16" s="12" t="str"/>
      <x:c r="AL16" s="12" t="str"/>
      <x:c r="AM16" s="12" t="str">
        <x:v>Não informado</x:v>
      </x:c>
      <x:c r="AN16" s="12" t="str"/>
      <x:c r="AO16" s="12" t="str">
        <x:v>2026-07-01</x:v>
      </x:c>
      <x:c r="AP16" s="12" t="str">
        <x:v>2026-07-19</x:v>
      </x:c>
      <x:c r="AQ16" s="12" t="str">
        <x:v>Alta</x:v>
      </x:c>
      <x:c r="AR16" s="12" t="str">
        <x:v>Inventário mestre completo atualizado em 2026-07-01</x:v>
      </x:c>
      <x:c r="AS16" s="12" t="str">
        <x:v>Precificação individual pendente</x:v>
      </x:c>
      <x:c r="AT16" s="12" t="str">
        <x:v>Avaliação visual; tratamentos não avaliados; confirmar naturalidade/tratamento em laboratório.</x:v>
      </x:c>
    </x:row>
    <x:row r="17">
      <x:c r="A17" s="12" t="str">
        <x:v>DG-EM-016</x:v>
      </x:c>
      <x:c r="B17" s="12" t="str"/>
      <x:c r="C17" s="12" t="str">
        <x:v>Emerald Collection</x:v>
      </x:c>
      <x:c r="D17" s="12" t="str">
        <x:v>Esmeraldas</x:v>
      </x:c>
      <x:c r="E17" s="12" t="str">
        <x:v>Berilo</x:v>
      </x:c>
      <x:c r="F17" s="12" t="str">
        <x:v>Esmeralda</x:v>
      </x:c>
      <x:c r="G17" s="12" t="str">
        <x:v>Gema individual</x:v>
      </x:c>
      <x:c r="H17" s="18" t="n">
        <x:v>1</x:v>
      </x:c>
      <x:c r="I17" s="12" t="str">
        <x:v>Octogonal / Emerald Cut</x:v>
      </x:c>
      <x:c r="J17" s="12" t="str">
        <x:v>7 x 7 x 2-3</x:v>
      </x:c>
      <x:c r="K17" s="14" t="n">
        <x:v>2.815</x:v>
      </x:c>
      <x:c r="L17" s="12" t="str">
        <x:v>Sim</x:v>
      </x:c>
      <x:c r="M17" s="12" t="str">
        <x:v>Balança / informado</x:v>
      </x:c>
      <x:c r="N17" s="12" t="str">
        <x:v>Verde médio-intenso</x:v>
      </x:c>
      <x:c r="O17" s="12" t="str">
        <x:v>Semi-transparente a translúcida</x:v>
      </x:c>
      <x:c r="P17" s="12" t="str"/>
      <x:c r="Q17" s="12" t="str">
        <x:v>Não avaliado / não informado</x:v>
      </x:c>
      <x:c r="R17" s="12" t="str">
        <x:v>Não</x:v>
      </x:c>
      <x:c r="S17" s="12" t="str"/>
      <x:c r="T17" s="12" t="str"/>
      <x:c r="U17" s="20"/>
      <x:c r="V17" s="20"/>
      <x:c r="W17" s="20"/>
      <x:c r="X17" s="20"/>
      <x:c r="Y17" s="20"/>
      <x:c r="Z17" s="20"/>
      <x:c r="AA17" s="20"/>
      <x:c r="AB17" s="12" t="str">
        <x:v>Pendente de precificação individual</x:v>
      </x:c>
      <x:c r="AC17" s="16" t="n">
        <x:v>8.1</x:v>
      </x:c>
      <x:c r="AD17" s="12" t="str">
        <x:v>A</x:v>
      </x:c>
      <x:c r="AE17" s="12" t="str">
        <x:v>A definir</x:v>
      </x:c>
      <x:c r="AF17" s="12" t="str">
        <x:v>Anel delicado / brincos</x:v>
      </x:c>
      <x:c r="AG17" s="12" t="str">
        <x:v>Anel delicado / brincos</x:v>
      </x:c>
      <x:c r="AH17" s="12" t="str">
        <x:v>Coleção</x:v>
      </x:c>
      <x:c r="AI17" s="12" t="str"/>
      <x:c r="AJ17" s="12" t="str"/>
      <x:c r="AK17" s="12" t="str"/>
      <x:c r="AL17" s="12" t="str"/>
      <x:c r="AM17" s="12" t="str">
        <x:v>Não informado</x:v>
      </x:c>
      <x:c r="AN17" s="12" t="str"/>
      <x:c r="AO17" s="12" t="str">
        <x:v>2026-07-01</x:v>
      </x:c>
      <x:c r="AP17" s="12" t="str">
        <x:v>2026-07-19</x:v>
      </x:c>
      <x:c r="AQ17" s="12" t="str">
        <x:v>Alta</x:v>
      </x:c>
      <x:c r="AR17" s="12" t="str">
        <x:v>Inventário mestre completo atualizado em 2026-07-01</x:v>
      </x:c>
      <x:c r="AS17" s="12" t="str">
        <x:v>Precificação individual pendente</x:v>
      </x:c>
      <x:c r="AT17" s="12" t="str">
        <x:v>Avaliação visual; tratamentos não avaliados; confirmar naturalidade/tratamento em laboratório.</x:v>
      </x:c>
    </x:row>
    <x:row r="18">
      <x:c r="A18" s="12" t="str">
        <x:v>DG-EM-017</x:v>
      </x:c>
      <x:c r="B18" s="12" t="str"/>
      <x:c r="C18" s="12" t="str">
        <x:v>Emerald Collection</x:v>
      </x:c>
      <x:c r="D18" s="12" t="str">
        <x:v>Esmeraldas</x:v>
      </x:c>
      <x:c r="E18" s="12" t="str">
        <x:v>Berilo</x:v>
      </x:c>
      <x:c r="F18" s="12" t="str">
        <x:v>Esmeralda</x:v>
      </x:c>
      <x:c r="G18" s="12" t="str">
        <x:v>Gema individual</x:v>
      </x:c>
      <x:c r="H18" s="18" t="n">
        <x:v>1</x:v>
      </x:c>
      <x:c r="I18" s="12" t="str">
        <x:v>Retangular Octogonal / Emerald Cut</x:v>
      </x:c>
      <x:c r="J18" s="12" t="str">
        <x:v>8 x 7 x 2</x:v>
      </x:c>
      <x:c r="K18" s="14" t="n">
        <x:v>1.87</x:v>
      </x:c>
      <x:c r="L18" s="12" t="str">
        <x:v>Sim</x:v>
      </x:c>
      <x:c r="M18" s="12" t="str">
        <x:v>Balança / informado</x:v>
      </x:c>
      <x:c r="N18" s="12" t="str">
        <x:v>Verde médio-intenso</x:v>
      </x:c>
      <x:c r="O18" s="12" t="str">
        <x:v>Semi-transparente a translúcida</x:v>
      </x:c>
      <x:c r="P18" s="12" t="str"/>
      <x:c r="Q18" s="12" t="str">
        <x:v>Não avaliado / não informado</x:v>
      </x:c>
      <x:c r="R18" s="12" t="str">
        <x:v>Não</x:v>
      </x:c>
      <x:c r="S18" s="12" t="str"/>
      <x:c r="T18" s="12" t="str"/>
      <x:c r="U18" s="20"/>
      <x:c r="V18" s="20"/>
      <x:c r="W18" s="20"/>
      <x:c r="X18" s="20"/>
      <x:c r="Y18" s="20"/>
      <x:c r="Z18" s="20"/>
      <x:c r="AA18" s="20"/>
      <x:c r="AB18" s="12" t="str">
        <x:v>Pendente de precificação individual</x:v>
      </x:c>
      <x:c r="AC18" s="16" t="n">
        <x:v>8.3</x:v>
      </x:c>
      <x:c r="AD18" s="12" t="str">
        <x:v>A</x:v>
      </x:c>
      <x:c r="AE18" s="12" t="str">
        <x:v>A definir</x:v>
      </x:c>
      <x:c r="AF18" s="12" t="str">
        <x:v>Anel solitário delicado / brinco</x:v>
      </x:c>
      <x:c r="AG18" s="12" t="str">
        <x:v>Anel solitário delicado / brinco</x:v>
      </x:c>
      <x:c r="AH18" s="12" t="str">
        <x:v>Coleção</x:v>
      </x:c>
      <x:c r="AI18" s="12" t="str"/>
      <x:c r="AJ18" s="12" t="str"/>
      <x:c r="AK18" s="12" t="str"/>
      <x:c r="AL18" s="12" t="str"/>
      <x:c r="AM18" s="12" t="str">
        <x:v>Não informado</x:v>
      </x:c>
      <x:c r="AN18" s="12" t="str"/>
      <x:c r="AO18" s="12" t="str">
        <x:v>2026-07-01</x:v>
      </x:c>
      <x:c r="AP18" s="12" t="str">
        <x:v>2026-07-19</x:v>
      </x:c>
      <x:c r="AQ18" s="12" t="str">
        <x:v>Alta</x:v>
      </x:c>
      <x:c r="AR18" s="12" t="str">
        <x:v>Inventário mestre completo atualizado em 2026-07-01</x:v>
      </x:c>
      <x:c r="AS18" s="12" t="str">
        <x:v>Precificação individual pendente</x:v>
      </x:c>
      <x:c r="AT18" s="12" t="str">
        <x:v>Avaliação visual; tratamentos não avaliados; confirmar naturalidade/tratamento em laboratório.</x:v>
      </x:c>
    </x:row>
    <x:row r="19">
      <x:c r="A19" s="12" t="str">
        <x:v>DG-EM-018</x:v>
      </x:c>
      <x:c r="B19" s="12" t="str"/>
      <x:c r="C19" s="12" t="str">
        <x:v>Emerald Collection</x:v>
      </x:c>
      <x:c r="D19" s="12" t="str">
        <x:v>Esmeraldas</x:v>
      </x:c>
      <x:c r="E19" s="12" t="str">
        <x:v>Berilo</x:v>
      </x:c>
      <x:c r="F19" s="12" t="str">
        <x:v>Esmeralda</x:v>
      </x:c>
      <x:c r="G19" s="12" t="str">
        <x:v>Gema individual</x:v>
      </x:c>
      <x:c r="H19" s="18" t="n">
        <x:v>1</x:v>
      </x:c>
      <x:c r="I19" s="12" t="str">
        <x:v>Oval</x:v>
      </x:c>
      <x:c r="J19" s="12" t="str">
        <x:v>10 x 6 x 3</x:v>
      </x:c>
      <x:c r="K19" s="14" t="n">
        <x:v>1.83</x:v>
      </x:c>
      <x:c r="L19" s="12" t="str">
        <x:v>Sim</x:v>
      </x:c>
      <x:c r="M19" s="12" t="str">
        <x:v>Balança / informado</x:v>
      </x:c>
      <x:c r="N19" s="12" t="str">
        <x:v>Verde vivo</x:v>
      </x:c>
      <x:c r="O19" s="12" t="str">
        <x:v>Semi-transparente a translúcida</x:v>
      </x:c>
      <x:c r="P19" s="12" t="str"/>
      <x:c r="Q19" s="12" t="str">
        <x:v>Não avaliado / não informado</x:v>
      </x:c>
      <x:c r="R19" s="12" t="str">
        <x:v>Não</x:v>
      </x:c>
      <x:c r="S19" s="12" t="str"/>
      <x:c r="T19" s="12" t="str"/>
      <x:c r="U19" s="20"/>
      <x:c r="V19" s="20"/>
      <x:c r="W19" s="20"/>
      <x:c r="X19" s="20"/>
      <x:c r="Y19" s="20"/>
      <x:c r="Z19" s="20"/>
      <x:c r="AA19" s="20"/>
      <x:c r="AB19" s="12" t="str">
        <x:v>Pendente de precificação individual</x:v>
      </x:c>
      <x:c r="AC19" s="16" t="n">
        <x:v>8.5</x:v>
      </x:c>
      <x:c r="AD19" s="12" t="str">
        <x:v>A</x:v>
      </x:c>
      <x:c r="AE19" s="12" t="str">
        <x:v>A definir</x:v>
      </x:c>
      <x:c r="AF19" s="12" t="str">
        <x:v>Anel solitário / pingente clássico</x:v>
      </x:c>
      <x:c r="AG19" s="12" t="str">
        <x:v>Anel solitário / pingente clássico</x:v>
      </x:c>
      <x:c r="AH19" s="12" t="str">
        <x:v>Coleção</x:v>
      </x:c>
      <x:c r="AI19" s="12" t="str"/>
      <x:c r="AJ19" s="12" t="str"/>
      <x:c r="AK19" s="12" t="str"/>
      <x:c r="AL19" s="12" t="str"/>
      <x:c r="AM19" s="12" t="str">
        <x:v>Não informado</x:v>
      </x:c>
      <x:c r="AN19" s="12" t="str"/>
      <x:c r="AO19" s="12" t="str">
        <x:v>2026-07-01</x:v>
      </x:c>
      <x:c r="AP19" s="12" t="str">
        <x:v>2026-07-19</x:v>
      </x:c>
      <x:c r="AQ19" s="12" t="str">
        <x:v>Alta</x:v>
      </x:c>
      <x:c r="AR19" s="12" t="str">
        <x:v>Inventário mestre completo atualizado em 2026-07-01</x:v>
      </x:c>
      <x:c r="AS19" s="12" t="str">
        <x:v>Precificação individual pendente</x:v>
      </x:c>
      <x:c r="AT19" s="12" t="str">
        <x:v>Avaliação visual; tratamentos não avaliados; confirmar naturalidade/tratamento em laboratório.</x:v>
      </x:c>
    </x:row>
    <x:row r="20">
      <x:c r="A20" s="12" t="str">
        <x:v>DG-EM-019</x:v>
      </x:c>
      <x:c r="B20" s="12" t="str"/>
      <x:c r="C20" s="12" t="str">
        <x:v>Emerald Collection</x:v>
      </x:c>
      <x:c r="D20" s="12" t="str">
        <x:v>Esmeraldas</x:v>
      </x:c>
      <x:c r="E20" s="12" t="str">
        <x:v>Berilo</x:v>
      </x:c>
      <x:c r="F20" s="12" t="str">
        <x:v>Esmeralda</x:v>
      </x:c>
      <x:c r="G20" s="12" t="str">
        <x:v>Lote</x:v>
      </x:c>
      <x:c r="H20" s="18" t="n">
        <x:v>13</x:v>
      </x:c>
      <x:c r="I20" s="12" t="str">
        <x:v>Formatos variados / melee</x:v>
      </x:c>
      <x:c r="J20" s="12" t="str">
        <x:v>2 a 6 mm variados</x:v>
      </x:c>
      <x:c r="K20" s="14" t="n">
        <x:v>4.56</x:v>
      </x:c>
      <x:c r="L20" s="12" t="str">
        <x:v>Sim</x:v>
      </x:c>
      <x:c r="M20" s="12" t="str">
        <x:v>Balança / informado</x:v>
      </x:c>
      <x:c r="N20" s="12" t="str">
        <x:v>Verdes variados</x:v>
      </x:c>
      <x:c r="O20" s="12" t="str">
        <x:v>Semi-transparente a translúcida</x:v>
      </x:c>
      <x:c r="P20" s="12" t="str"/>
      <x:c r="Q20" s="12" t="str">
        <x:v>Não avaliado / não informado</x:v>
      </x:c>
      <x:c r="R20" s="12" t="str">
        <x:v>Não</x:v>
      </x:c>
      <x:c r="S20" s="12" t="str"/>
      <x:c r="T20" s="12" t="str"/>
      <x:c r="U20" s="20"/>
      <x:c r="V20" s="20"/>
      <x:c r="W20" s="20"/>
      <x:c r="X20" s="20"/>
      <x:c r="Y20" s="20"/>
      <x:c r="Z20" s="20"/>
      <x:c r="AA20" s="20"/>
      <x:c r="AB20" s="12" t="str">
        <x:v>Pendente de precificação individual</x:v>
      </x:c>
      <x:c r="AC20" s="16" t="n">
        <x:v>8.1</x:v>
      </x:c>
      <x:c r="AD20" s="12" t="str">
        <x:v>A-</x:v>
      </x:c>
      <x:c r="AE20" s="12" t="str">
        <x:v>A definir</x:v>
      </x:c>
      <x:c r="AF20" s="12" t="str">
        <x:v>Halo, pavê, riviera, crucifixos</x:v>
      </x:c>
      <x:c r="AG20" s="12" t="str">
        <x:v>Halo, pavê, riviera, crucifixos</x:v>
      </x:c>
      <x:c r="AH20" s="12" t="str">
        <x:v>Coleção</x:v>
      </x:c>
      <x:c r="AI20" s="12" t="str"/>
      <x:c r="AJ20" s="12" t="str"/>
      <x:c r="AK20" s="12" t="str"/>
      <x:c r="AL20" s="12" t="str"/>
      <x:c r="AM20" s="12" t="str">
        <x:v>Não informado</x:v>
      </x:c>
      <x:c r="AN20" s="12" t="str"/>
      <x:c r="AO20" s="12" t="str">
        <x:v>2026-07-01</x:v>
      </x:c>
      <x:c r="AP20" s="12" t="str">
        <x:v>2026-07-19</x:v>
      </x:c>
      <x:c r="AQ20" s="12" t="str">
        <x:v>Alta</x:v>
      </x:c>
      <x:c r="AR20" s="12" t="str">
        <x:v>Inventário mestre completo atualizado em 2026-07-01</x:v>
      </x:c>
      <x:c r="AS20" s="12" t="str">
        <x:v>Precificação individual pendente</x:v>
      </x:c>
      <x:c r="AT20" s="12" t="str">
        <x:v>Avaliação visual; tratamentos não avaliados; confirmar naturalidade/tratamento em laboratório. Lote de 13 pedras; peso médio 0,351 ct.</x:v>
      </x:c>
    </x:row>
    <x:row r="21">
      <x:c r="A21" s="12" t="str">
        <x:v>DG-EM-020</x:v>
      </x:c>
      <x:c r="B21" s="12" t="str"/>
      <x:c r="C21" s="12" t="str">
        <x:v>Emerald Collection</x:v>
      </x:c>
      <x:c r="D21" s="12" t="str">
        <x:v>Esmeraldas</x:v>
      </x:c>
      <x:c r="E21" s="12" t="str">
        <x:v>Berilo</x:v>
      </x:c>
      <x:c r="F21" s="12" t="str">
        <x:v>Esmeralda</x:v>
      </x:c>
      <x:c r="G21" s="12" t="str">
        <x:v>Gema individual</x:v>
      </x:c>
      <x:c r="H21" s="18" t="n">
        <x:v>1</x:v>
      </x:c>
      <x:c r="I21" s="12" t="str">
        <x:v>Oval</x:v>
      </x:c>
      <x:c r="J21" s="12" t="str">
        <x:v>9 x 6 x 4</x:v>
      </x:c>
      <x:c r="K21" s="14" t="n">
        <x:v>1.54</x:v>
      </x:c>
      <x:c r="L21" s="12" t="str">
        <x:v>Sim</x:v>
      </x:c>
      <x:c r="M21" s="12" t="str">
        <x:v>Balança / informado</x:v>
      </x:c>
      <x:c r="N21" s="12" t="str">
        <x:v>Verde médio a intenso</x:v>
      </x:c>
      <x:c r="O21" s="12" t="str">
        <x:v>Semi-transparente a translúcida</x:v>
      </x:c>
      <x:c r="P21" s="12" t="str"/>
      <x:c r="Q21" s="12" t="str">
        <x:v>Não avaliado / não informado</x:v>
      </x:c>
      <x:c r="R21" s="12" t="str">
        <x:v>Não</x:v>
      </x:c>
      <x:c r="S21" s="12" t="str"/>
      <x:c r="T21" s="12" t="str"/>
      <x:c r="U21" s="20"/>
      <x:c r="V21" s="20"/>
      <x:c r="W21" s="20"/>
      <x:c r="X21" s="20"/>
      <x:c r="Y21" s="20"/>
      <x:c r="Z21" s="20"/>
      <x:c r="AA21" s="20"/>
      <x:c r="AB21" s="12" t="str">
        <x:v>Pendente de precificação individual</x:v>
      </x:c>
      <x:c r="AC21" s="16" t="n">
        <x:v>8.2</x:v>
      </x:c>
      <x:c r="AD21" s="12" t="str">
        <x:v>A</x:v>
      </x:c>
      <x:c r="AE21" s="12" t="str">
        <x:v>A definir</x:v>
      </x:c>
      <x:c r="AF21" s="12" t="str">
        <x:v>Anel solitário / pingente delicado</x:v>
      </x:c>
      <x:c r="AG21" s="12" t="str">
        <x:v>Anel solitário / pingente delicado</x:v>
      </x:c>
      <x:c r="AH21" s="12" t="str">
        <x:v>Coleção</x:v>
      </x:c>
      <x:c r="AI21" s="12" t="str"/>
      <x:c r="AJ21" s="12" t="str"/>
      <x:c r="AK21" s="12" t="str"/>
      <x:c r="AL21" s="12" t="str"/>
      <x:c r="AM21" s="12" t="str">
        <x:v>Não informado</x:v>
      </x:c>
      <x:c r="AN21" s="12" t="str"/>
      <x:c r="AO21" s="12" t="str">
        <x:v>2026-07-01</x:v>
      </x:c>
      <x:c r="AP21" s="12" t="str">
        <x:v>2026-07-19</x:v>
      </x:c>
      <x:c r="AQ21" s="12" t="str">
        <x:v>Alta</x:v>
      </x:c>
      <x:c r="AR21" s="12" t="str">
        <x:v>Inventário mestre completo atualizado em 2026-07-01</x:v>
      </x:c>
      <x:c r="AS21" s="12" t="str">
        <x:v>Precificação individual pendente</x:v>
      </x:c>
      <x:c r="AT21" s="12" t="str">
        <x:v>Avaliação visual; tratamentos não avaliados; confirmar naturalidade/tratamento em laboratório.</x:v>
      </x:c>
    </x:row>
    <x:row r="22">
      <x:c r="A22" s="12" t="str">
        <x:v>DG-EM-021</x:v>
      </x:c>
      <x:c r="B22" s="12" t="str"/>
      <x:c r="C22" s="12" t="str">
        <x:v>Emerald Collection</x:v>
      </x:c>
      <x:c r="D22" s="12" t="str">
        <x:v>Esmeraldas</x:v>
      </x:c>
      <x:c r="E22" s="12" t="str">
        <x:v>Berilo</x:v>
      </x:c>
      <x:c r="F22" s="12" t="str">
        <x:v>Esmeralda</x:v>
      </x:c>
      <x:c r="G22" s="12" t="str">
        <x:v>Gema individual</x:v>
      </x:c>
      <x:c r="H22" s="18" t="n">
        <x:v>1</x:v>
      </x:c>
      <x:c r="I22" s="12" t="str">
        <x:v>Gota</x:v>
      </x:c>
      <x:c r="J22" s="12" t="str">
        <x:v>10 x 6 x 4</x:v>
      </x:c>
      <x:c r="K22" s="14" t="n">
        <x:v>1.765</x:v>
      </x:c>
      <x:c r="L22" s="12" t="str">
        <x:v>Sim</x:v>
      </x:c>
      <x:c r="M22" s="12" t="str">
        <x:v>Balança / informado</x:v>
      </x:c>
      <x:c r="N22" s="12" t="str">
        <x:v>Verde médio</x:v>
      </x:c>
      <x:c r="O22" s="12" t="str">
        <x:v>Semi-transparente a translúcida</x:v>
      </x:c>
      <x:c r="P22" s="12" t="str"/>
      <x:c r="Q22" s="12" t="str">
        <x:v>Não avaliado / não informado</x:v>
      </x:c>
      <x:c r="R22" s="12" t="str">
        <x:v>Não</x:v>
      </x:c>
      <x:c r="S22" s="12" t="str"/>
      <x:c r="T22" s="12" t="str"/>
      <x:c r="U22" s="20"/>
      <x:c r="V22" s="20"/>
      <x:c r="W22" s="20"/>
      <x:c r="X22" s="20"/>
      <x:c r="Y22" s="20"/>
      <x:c r="Z22" s="20"/>
      <x:c r="AA22" s="20"/>
      <x:c r="AB22" s="12" t="str">
        <x:v>Pendente de precificação individual</x:v>
      </x:c>
      <x:c r="AC22" s="16" t="n">
        <x:v>8.3</x:v>
      </x:c>
      <x:c r="AD22" s="12" t="str">
        <x:v>A</x:v>
      </x:c>
      <x:c r="AE22" s="12" t="str">
        <x:v>A definir</x:v>
      </x:c>
      <x:c r="AF22" s="12" t="str">
        <x:v>Pingente solitário / anel feminino</x:v>
      </x:c>
      <x:c r="AG22" s="12" t="str">
        <x:v>Pingente solitário / anel feminino</x:v>
      </x:c>
      <x:c r="AH22" s="12" t="str">
        <x:v>Coleção</x:v>
      </x:c>
      <x:c r="AI22" s="12" t="str"/>
      <x:c r="AJ22" s="12" t="str"/>
      <x:c r="AK22" s="12" t="str"/>
      <x:c r="AL22" s="12" t="str"/>
      <x:c r="AM22" s="12" t="str">
        <x:v>Não informado</x:v>
      </x:c>
      <x:c r="AN22" s="12" t="str"/>
      <x:c r="AO22" s="12" t="str">
        <x:v>2026-07-01</x:v>
      </x:c>
      <x:c r="AP22" s="12" t="str">
        <x:v>2026-07-19</x:v>
      </x:c>
      <x:c r="AQ22" s="12" t="str">
        <x:v>Alta</x:v>
      </x:c>
      <x:c r="AR22" s="12" t="str">
        <x:v>Inventário mestre completo atualizado em 2026-07-01</x:v>
      </x:c>
      <x:c r="AS22" s="12" t="str">
        <x:v>Precificação individual pendente</x:v>
      </x:c>
      <x:c r="AT22" s="12" t="str">
        <x:v>Avaliação visual; tratamentos não avaliados; confirmar naturalidade/tratamento em laboratório.</x:v>
      </x:c>
    </x:row>
    <x:row r="23">
      <x:c r="A23" s="12" t="str">
        <x:v>DG-EM-022</x:v>
      </x:c>
      <x:c r="B23" s="12" t="str"/>
      <x:c r="C23" s="12" t="str">
        <x:v>Emerald Collection</x:v>
      </x:c>
      <x:c r="D23" s="12" t="str">
        <x:v>Esmeraldas</x:v>
      </x:c>
      <x:c r="E23" s="12" t="str">
        <x:v>Berilo</x:v>
      </x:c>
      <x:c r="F23" s="12" t="str">
        <x:v>Esmeralda</x:v>
      </x:c>
      <x:c r="G23" s="12" t="str">
        <x:v>Gema individual</x:v>
      </x:c>
      <x:c r="H23" s="18" t="n">
        <x:v>1</x:v>
      </x:c>
      <x:c r="I23" s="12" t="str">
        <x:v>Gota</x:v>
      </x:c>
      <x:c r="J23" s="12" t="str">
        <x:v>9 x 6 x 4</x:v>
      </x:c>
      <x:c r="K23" s="14" t="n">
        <x:v>1.805</x:v>
      </x:c>
      <x:c r="L23" s="12" t="str">
        <x:v>Sim</x:v>
      </x:c>
      <x:c r="M23" s="12" t="str">
        <x:v>Balança / informado</x:v>
      </x:c>
      <x:c r="N23" s="12" t="str">
        <x:v>Verde médio a intenso</x:v>
      </x:c>
      <x:c r="O23" s="12" t="str">
        <x:v>Semi-transparente a translúcida</x:v>
      </x:c>
      <x:c r="P23" s="12" t="str"/>
      <x:c r="Q23" s="12" t="str">
        <x:v>Não avaliado / não informado</x:v>
      </x:c>
      <x:c r="R23" s="12" t="str">
        <x:v>Não</x:v>
      </x:c>
      <x:c r="S23" s="12" t="str"/>
      <x:c r="T23" s="12" t="str"/>
      <x:c r="U23" s="20"/>
      <x:c r="V23" s="20"/>
      <x:c r="W23" s="20"/>
      <x:c r="X23" s="20"/>
      <x:c r="Y23" s="20"/>
      <x:c r="Z23" s="20"/>
      <x:c r="AA23" s="20"/>
      <x:c r="AB23" s="12" t="str">
        <x:v>Pendente de precificação individual</x:v>
      </x:c>
      <x:c r="AC23" s="16" t="n">
        <x:v>8.6</x:v>
      </x:c>
      <x:c r="AD23" s="12" t="str">
        <x:v>A</x:v>
      </x:c>
      <x:c r="AE23" s="12" t="str">
        <x:v>A definir</x:v>
      </x:c>
      <x:c r="AF23" s="12" t="str">
        <x:v>Pingente solitário premium / anel</x:v>
      </x:c>
      <x:c r="AG23" s="12" t="str">
        <x:v>Pingente solitário premium / anel</x:v>
      </x:c>
      <x:c r="AH23" s="12" t="str">
        <x:v>Coleção</x:v>
      </x:c>
      <x:c r="AI23" s="12" t="str"/>
      <x:c r="AJ23" s="12" t="str"/>
      <x:c r="AK23" s="12" t="str"/>
      <x:c r="AL23" s="12" t="str"/>
      <x:c r="AM23" s="12" t="str">
        <x:v>Não informado</x:v>
      </x:c>
      <x:c r="AN23" s="12" t="str"/>
      <x:c r="AO23" s="12" t="str">
        <x:v>2026-07-01</x:v>
      </x:c>
      <x:c r="AP23" s="12" t="str">
        <x:v>2026-07-19</x:v>
      </x:c>
      <x:c r="AQ23" s="12" t="str">
        <x:v>Alta</x:v>
      </x:c>
      <x:c r="AR23" s="12" t="str">
        <x:v>Inventário mestre completo atualizado em 2026-07-01</x:v>
      </x:c>
      <x:c r="AS23" s="12" t="str">
        <x:v>Precificação individual pendente</x:v>
      </x:c>
      <x:c r="AT23" s="12" t="str">
        <x:v>Avaliação visual; tratamentos não avaliados; confirmar naturalidade/tratamento em laboratório.</x:v>
      </x:c>
    </x:row>
    <x:row r="24">
      <x:c r="A24" s="12" t="str">
        <x:v>DG-EM-023</x:v>
      </x:c>
      <x:c r="B24" s="12" t="str"/>
      <x:c r="C24" s="12" t="str">
        <x:v>Emerald Collection</x:v>
      </x:c>
      <x:c r="D24" s="12" t="str">
        <x:v>Esmeraldas</x:v>
      </x:c>
      <x:c r="E24" s="12" t="str">
        <x:v>Berilo</x:v>
      </x:c>
      <x:c r="F24" s="12" t="str">
        <x:v>Esmeralda</x:v>
      </x:c>
      <x:c r="G24" s="12" t="str">
        <x:v>Gema individual</x:v>
      </x:c>
      <x:c r="H24" s="18" t="n">
        <x:v>1</x:v>
      </x:c>
      <x:c r="I24" s="12" t="str">
        <x:v>Oval</x:v>
      </x:c>
      <x:c r="J24" s="12" t="str">
        <x:v>10 x 7 x 4</x:v>
      </x:c>
      <x:c r="K24" s="14" t="n">
        <x:v>2.27</x:v>
      </x:c>
      <x:c r="L24" s="12" t="str">
        <x:v>Sim</x:v>
      </x:c>
      <x:c r="M24" s="12" t="str">
        <x:v>Balança / informado</x:v>
      </x:c>
      <x:c r="N24" s="12" t="str">
        <x:v>Verde médio a intenso</x:v>
      </x:c>
      <x:c r="O24" s="12" t="str">
        <x:v>Semi-transparente a translúcida</x:v>
      </x:c>
      <x:c r="P24" s="12" t="str"/>
      <x:c r="Q24" s="12" t="str">
        <x:v>Não avaliado / não informado</x:v>
      </x:c>
      <x:c r="R24" s="12" t="str">
        <x:v>Não</x:v>
      </x:c>
      <x:c r="S24" s="12" t="str"/>
      <x:c r="T24" s="12" t="str"/>
      <x:c r="U24" s="20"/>
      <x:c r="V24" s="20"/>
      <x:c r="W24" s="20"/>
      <x:c r="X24" s="20"/>
      <x:c r="Y24" s="20"/>
      <x:c r="Z24" s="20"/>
      <x:c r="AA24" s="20"/>
      <x:c r="AB24" s="12" t="str">
        <x:v>Pendente de precificação individual</x:v>
      </x:c>
      <x:c r="AC24" s="16" t="n">
        <x:v>8.4</x:v>
      </x:c>
      <x:c r="AD24" s="12" t="str">
        <x:v>A</x:v>
      </x:c>
      <x:c r="AE24" s="12" t="str">
        <x:v>A definir</x:v>
      </x:c>
      <x:c r="AF24" s="12" t="str">
        <x:v>Anel solitário / pingente clássico</x:v>
      </x:c>
      <x:c r="AG24" s="12" t="str">
        <x:v>Anel solitário / pingente clássico</x:v>
      </x:c>
      <x:c r="AH24" s="12" t="str">
        <x:v>Coleção</x:v>
      </x:c>
      <x:c r="AI24" s="12" t="str"/>
      <x:c r="AJ24" s="12" t="str"/>
      <x:c r="AK24" s="12" t="str"/>
      <x:c r="AL24" s="12" t="str"/>
      <x:c r="AM24" s="12" t="str">
        <x:v>Não informado</x:v>
      </x:c>
      <x:c r="AN24" s="12" t="str"/>
      <x:c r="AO24" s="12" t="str">
        <x:v>2026-07-01</x:v>
      </x:c>
      <x:c r="AP24" s="12" t="str">
        <x:v>2026-07-19</x:v>
      </x:c>
      <x:c r="AQ24" s="12" t="str">
        <x:v>Alta</x:v>
      </x:c>
      <x:c r="AR24" s="12" t="str">
        <x:v>Inventário mestre completo atualizado em 2026-07-01</x:v>
      </x:c>
      <x:c r="AS24" s="12" t="str">
        <x:v>Precificação individual pendente</x:v>
      </x:c>
      <x:c r="AT24" s="12" t="str">
        <x:v>Avaliação visual; tratamentos não avaliados; confirmar naturalidade/tratamento em laboratório.</x:v>
      </x:c>
    </x:row>
    <x:row r="25">
      <x:c r="A25" s="12" t="str">
        <x:v>DG-EM-024</x:v>
      </x:c>
      <x:c r="B25" s="12" t="str"/>
      <x:c r="C25" s="12" t="str">
        <x:v>Emerald Collection</x:v>
      </x:c>
      <x:c r="D25" s="12" t="str">
        <x:v>Esmeraldas</x:v>
      </x:c>
      <x:c r="E25" s="12" t="str">
        <x:v>Berilo</x:v>
      </x:c>
      <x:c r="F25" s="12" t="str">
        <x:v>Esmeralda</x:v>
      </x:c>
      <x:c r="G25" s="12" t="str">
        <x:v>Gema individual</x:v>
      </x:c>
      <x:c r="H25" s="18" t="n">
        <x:v>1</x:v>
      </x:c>
      <x:c r="I25" s="12" t="str">
        <x:v>Octogonal / Emerald Cut</x:v>
      </x:c>
      <x:c r="J25" s="12" t="str">
        <x:v>8 x 8 x 4</x:v>
      </x:c>
      <x:c r="K25" s="14" t="n">
        <x:v>2.845</x:v>
      </x:c>
      <x:c r="L25" s="12" t="str">
        <x:v>Sim</x:v>
      </x:c>
      <x:c r="M25" s="12" t="str">
        <x:v>Balança / informado</x:v>
      </x:c>
      <x:c r="N25" s="12" t="str">
        <x:v>Verde médio levemente azulado</x:v>
      </x:c>
      <x:c r="O25" s="12" t="str">
        <x:v>Semi-transparente a translúcida</x:v>
      </x:c>
      <x:c r="P25" s="12" t="str"/>
      <x:c r="Q25" s="12" t="str">
        <x:v>Não avaliado / não informado</x:v>
      </x:c>
      <x:c r="R25" s="12" t="str">
        <x:v>Não</x:v>
      </x:c>
      <x:c r="S25" s="12" t="str"/>
      <x:c r="T25" s="12" t="str"/>
      <x:c r="U25" s="20"/>
      <x:c r="V25" s="20"/>
      <x:c r="W25" s="20"/>
      <x:c r="X25" s="20"/>
      <x:c r="Y25" s="20"/>
      <x:c r="Z25" s="20"/>
      <x:c r="AA25" s="20"/>
      <x:c r="AB25" s="12" t="str">
        <x:v>Pendente de precificação individual</x:v>
      </x:c>
      <x:c r="AC25" s="16" t="n">
        <x:v>8.1</x:v>
      </x:c>
      <x:c r="AD25" s="12" t="str">
        <x:v>A-</x:v>
      </x:c>
      <x:c r="AE25" s="12" t="str">
        <x:v>A definir</x:v>
      </x:c>
      <x:c r="AF25" s="12" t="str">
        <x:v>Anel masculino / pingente geométrico</x:v>
      </x:c>
      <x:c r="AG25" s="12" t="str">
        <x:v>Anel masculino / pingente geométrico</x:v>
      </x:c>
      <x:c r="AH25" s="12" t="str">
        <x:v>Coleção</x:v>
      </x:c>
      <x:c r="AI25" s="12" t="str"/>
      <x:c r="AJ25" s="12" t="str"/>
      <x:c r="AK25" s="12" t="str"/>
      <x:c r="AL25" s="12" t="str"/>
      <x:c r="AM25" s="12" t="str">
        <x:v>Não informado</x:v>
      </x:c>
      <x:c r="AN25" s="12" t="str"/>
      <x:c r="AO25" s="12" t="str">
        <x:v>2026-07-01</x:v>
      </x:c>
      <x:c r="AP25" s="12" t="str">
        <x:v>2026-07-19</x:v>
      </x:c>
      <x:c r="AQ25" s="12" t="str">
        <x:v>Alta</x:v>
      </x:c>
      <x:c r="AR25" s="12" t="str">
        <x:v>Inventário mestre completo atualizado em 2026-07-01</x:v>
      </x:c>
      <x:c r="AS25" s="12" t="str">
        <x:v>Precificação individual pendente</x:v>
      </x:c>
      <x:c r="AT25" s="12" t="str">
        <x:v>Avaliação visual; tratamentos não avaliados; confirmar naturalidade/tratamento em laboratório.</x:v>
      </x:c>
    </x:row>
    <x:row r="26">
      <x:c r="A26" s="12" t="str">
        <x:v>DG-EM-025</x:v>
      </x:c>
      <x:c r="B26" s="12" t="str"/>
      <x:c r="C26" s="12" t="str">
        <x:v>Emerald Collection</x:v>
      </x:c>
      <x:c r="D26" s="12" t="str">
        <x:v>Esmeraldas</x:v>
      </x:c>
      <x:c r="E26" s="12" t="str">
        <x:v>Berilo</x:v>
      </x:c>
      <x:c r="F26" s="12" t="str">
        <x:v>Esmeralda</x:v>
      </x:c>
      <x:c r="G26" s="12" t="str">
        <x:v>Gema individual</x:v>
      </x:c>
      <x:c r="H26" s="18" t="n">
        <x:v>1</x:v>
      </x:c>
      <x:c r="I26" s="12" t="str">
        <x:v>Oval</x:v>
      </x:c>
      <x:c r="J26" s="12" t="str">
        <x:v>11 x 7 x 4</x:v>
      </x:c>
      <x:c r="K26" s="14" t="n">
        <x:v>2.47</x:v>
      </x:c>
      <x:c r="L26" s="12" t="str">
        <x:v>Sim</x:v>
      </x:c>
      <x:c r="M26" s="12" t="str">
        <x:v>Balança / informado</x:v>
      </x:c>
      <x:c r="N26" s="12" t="str">
        <x:v>Verde médio azulado</x:v>
      </x:c>
      <x:c r="O26" s="12" t="str">
        <x:v>Semi-transparente a translúcida</x:v>
      </x:c>
      <x:c r="P26" s="12" t="str"/>
      <x:c r="Q26" s="12" t="str">
        <x:v>Não avaliado / não informado</x:v>
      </x:c>
      <x:c r="R26" s="12" t="str">
        <x:v>Não</x:v>
      </x:c>
      <x:c r="S26" s="12" t="str"/>
      <x:c r="T26" s="12" t="str"/>
      <x:c r="U26" s="20"/>
      <x:c r="V26" s="20"/>
      <x:c r="W26" s="20"/>
      <x:c r="X26" s="20"/>
      <x:c r="Y26" s="20"/>
      <x:c r="Z26" s="20"/>
      <x:c r="AA26" s="20"/>
      <x:c r="AB26" s="12" t="str">
        <x:v>Pendente de precificação individual</x:v>
      </x:c>
      <x:c r="AC26" s="16" t="n">
        <x:v>8.4</x:v>
      </x:c>
      <x:c r="AD26" s="12" t="str">
        <x:v>A</x:v>
      </x:c>
      <x:c r="AE26" s="12" t="str">
        <x:v>A definir</x:v>
      </x:c>
      <x:c r="AF26" s="12" t="str">
        <x:v>Anel solitário / pingente</x:v>
      </x:c>
      <x:c r="AG26" s="12" t="str">
        <x:v>Anel solitário / pingente</x:v>
      </x:c>
      <x:c r="AH26" s="12" t="str">
        <x:v>Coleção</x:v>
      </x:c>
      <x:c r="AI26" s="12" t="str"/>
      <x:c r="AJ26" s="12" t="str"/>
      <x:c r="AK26" s="12" t="str"/>
      <x:c r="AL26" s="12" t="str"/>
      <x:c r="AM26" s="12" t="str">
        <x:v>Não informado</x:v>
      </x:c>
      <x:c r="AN26" s="12" t="str"/>
      <x:c r="AO26" s="12" t="str">
        <x:v>2026-07-01</x:v>
      </x:c>
      <x:c r="AP26" s="12" t="str">
        <x:v>2026-07-19</x:v>
      </x:c>
      <x:c r="AQ26" s="12" t="str">
        <x:v>Alta</x:v>
      </x:c>
      <x:c r="AR26" s="12" t="str">
        <x:v>Inventário mestre completo atualizado em 2026-07-01</x:v>
      </x:c>
      <x:c r="AS26" s="12" t="str">
        <x:v>Precificação individual pendente</x:v>
      </x:c>
      <x:c r="AT26" s="12" t="str">
        <x:v>Avaliação visual; tratamentos não avaliados; confirmar naturalidade/tratamento em laboratório.</x:v>
      </x:c>
    </x:row>
    <x:row r="27">
      <x:c r="A27" s="12" t="str">
        <x:v>DG-EM-026</x:v>
      </x:c>
      <x:c r="B27" s="12" t="str"/>
      <x:c r="C27" s="12" t="str">
        <x:v>Emerald Collection</x:v>
      </x:c>
      <x:c r="D27" s="12" t="str">
        <x:v>Esmeraldas</x:v>
      </x:c>
      <x:c r="E27" s="12" t="str">
        <x:v>Berilo</x:v>
      </x:c>
      <x:c r="F27" s="12" t="str">
        <x:v>Esmeralda</x:v>
      </x:c>
      <x:c r="G27" s="12" t="str">
        <x:v>Gema individual</x:v>
      </x:c>
      <x:c r="H27" s="18" t="n">
        <x:v>1</x:v>
      </x:c>
      <x:c r="I27" s="12" t="str">
        <x:v>Gota / Pear</x:v>
      </x:c>
      <x:c r="J27" s="12" t="str">
        <x:v>15 x 9 x 5</x:v>
      </x:c>
      <x:c r="K27" s="14" t="n">
        <x:v>4.335</x:v>
      </x:c>
      <x:c r="L27" s="12" t="str">
        <x:v>Sim</x:v>
      </x:c>
      <x:c r="M27" s="12" t="str">
        <x:v>Balança / informado</x:v>
      </x:c>
      <x:c r="N27" s="12" t="str">
        <x:v>Verde médio a médio-escuro</x:v>
      </x:c>
      <x:c r="O27" s="12" t="str">
        <x:v>Semi-transparente a translúcida</x:v>
      </x:c>
      <x:c r="P27" s="12" t="str"/>
      <x:c r="Q27" s="12" t="str">
        <x:v>Não avaliado / não informado</x:v>
      </x:c>
      <x:c r="R27" s="12" t="str">
        <x:v>Não</x:v>
      </x:c>
      <x:c r="S27" s="12" t="str"/>
      <x:c r="T27" s="12" t="str"/>
      <x:c r="U27" s="20"/>
      <x:c r="V27" s="20"/>
      <x:c r="W27" s="20"/>
      <x:c r="X27" s="20"/>
      <x:c r="Y27" s="20"/>
      <x:c r="Z27" s="20"/>
      <x:c r="AA27" s="20"/>
      <x:c r="AB27" s="12" t="str">
        <x:v>Pendente de precificação individual</x:v>
      </x:c>
      <x:c r="AC27" s="16" t="n">
        <x:v>8.3</x:v>
      </x:c>
      <x:c r="AD27" s="12" t="str">
        <x:v>A</x:v>
      </x:c>
      <x:c r="AE27" s="12" t="str">
        <x:v>A definir</x:v>
      </x:c>
      <x:c r="AF27" s="12" t="str">
        <x:v>Pingente / anel de destaque</x:v>
      </x:c>
      <x:c r="AG27" s="12" t="str">
        <x:v>Pingente / anel de destaque</x:v>
      </x:c>
      <x:c r="AH27" s="12" t="str">
        <x:v>Coleção</x:v>
      </x:c>
      <x:c r="AI27" s="12" t="str"/>
      <x:c r="AJ27" s="12" t="str"/>
      <x:c r="AK27" s="12" t="str"/>
      <x:c r="AL27" s="12" t="str"/>
      <x:c r="AM27" s="12" t="str">
        <x:v>Não informado</x:v>
      </x:c>
      <x:c r="AN27" s="12" t="str"/>
      <x:c r="AO27" s="12" t="str">
        <x:v>2026-07-01</x:v>
      </x:c>
      <x:c r="AP27" s="12" t="str">
        <x:v>2026-07-19</x:v>
      </x:c>
      <x:c r="AQ27" s="12" t="str">
        <x:v>Alta</x:v>
      </x:c>
      <x:c r="AR27" s="12" t="str">
        <x:v>Inventário mestre completo atualizado em 2026-07-01</x:v>
      </x:c>
      <x:c r="AS27" s="12" t="str">
        <x:v>Precificação individual pendente</x:v>
      </x:c>
      <x:c r="AT27" s="12" t="str">
        <x:v>Avaliação visual; tratamentos não avaliados; confirmar naturalidade/tratamento em laboratório.</x:v>
      </x:c>
    </x:row>
    <x:row r="28">
      <x:c r="A28" s="12" t="str">
        <x:v>DG-EM-027</x:v>
      </x:c>
      <x:c r="B28" s="12" t="str"/>
      <x:c r="C28" s="12" t="str">
        <x:v>Emerald Collection</x:v>
      </x:c>
      <x:c r="D28" s="12" t="str">
        <x:v>Esmeraldas</x:v>
      </x:c>
      <x:c r="E28" s="12" t="str">
        <x:v>Berilo</x:v>
      </x:c>
      <x:c r="F28" s="12" t="str">
        <x:v>Esmeralda</x:v>
      </x:c>
      <x:c r="G28" s="12" t="str">
        <x:v>Gema individual</x:v>
      </x:c>
      <x:c r="H28" s="18" t="n">
        <x:v>1</x:v>
      </x:c>
      <x:c r="I28" s="12" t="str">
        <x:v>Octogonal / Emerald Cut</x:v>
      </x:c>
      <x:c r="J28" s="12" t="str">
        <x:v>10 x 10 x 5</x:v>
      </x:c>
      <x:c r="K28" s="14" t="n">
        <x:v>4.91</x:v>
      </x:c>
      <x:c r="L28" s="12" t="str">
        <x:v>Sim</x:v>
      </x:c>
      <x:c r="M28" s="12" t="str">
        <x:v>Balança / informado</x:v>
      </x:c>
      <x:c r="N28" s="12" t="str">
        <x:v>Verde intenso</x:v>
      </x:c>
      <x:c r="O28" s="12" t="str">
        <x:v>Semi-transparente a translúcida</x:v>
      </x:c>
      <x:c r="P28" s="12" t="str"/>
      <x:c r="Q28" s="12" t="str">
        <x:v>Não avaliado / não informado</x:v>
      </x:c>
      <x:c r="R28" s="12" t="str">
        <x:v>Não</x:v>
      </x:c>
      <x:c r="S28" s="12" t="str"/>
      <x:c r="T28" s="12" t="str"/>
      <x:c r="U28" s="20"/>
      <x:c r="V28" s="20"/>
      <x:c r="W28" s="20"/>
      <x:c r="X28" s="20"/>
      <x:c r="Y28" s="20"/>
      <x:c r="Z28" s="20"/>
      <x:c r="AA28" s="20"/>
      <x:c r="AB28" s="12" t="str">
        <x:v>Pendente de precificação individual</x:v>
      </x:c>
      <x:c r="AC28" s="16" t="n">
        <x:v>8.8</x:v>
      </x:c>
      <x:c r="AD28" s="12" t="str">
        <x:v>A+</x:v>
      </x:c>
      <x:c r="AE28" s="12" t="str">
        <x:v>A definir</x:v>
      </x:c>
      <x:c r="AF28" s="12" t="str">
        <x:v>Anel solitário / anel masculino / pingente</x:v>
      </x:c>
      <x:c r="AG28" s="12" t="str">
        <x:v>Anel solitário / anel masculino / pingente</x:v>
      </x:c>
      <x:c r="AH28" s="12" t="str">
        <x:v>Coleção</x:v>
      </x:c>
      <x:c r="AI28" s="12" t="str"/>
      <x:c r="AJ28" s="12" t="str"/>
      <x:c r="AK28" s="12" t="str"/>
      <x:c r="AL28" s="12" t="str"/>
      <x:c r="AM28" s="12" t="str">
        <x:v>Não informado</x:v>
      </x:c>
      <x:c r="AN28" s="12" t="str"/>
      <x:c r="AO28" s="12" t="str">
        <x:v>2026-07-01</x:v>
      </x:c>
      <x:c r="AP28" s="12" t="str">
        <x:v>2026-07-19</x:v>
      </x:c>
      <x:c r="AQ28" s="12" t="str">
        <x:v>Alta</x:v>
      </x:c>
      <x:c r="AR28" s="12" t="str">
        <x:v>Inventário mestre completo atualizado em 2026-07-01</x:v>
      </x:c>
      <x:c r="AS28" s="12" t="str">
        <x:v>Precificação individual pendente</x:v>
      </x:c>
      <x:c r="AT28" s="12" t="str">
        <x:v>Avaliação visual; tratamentos não avaliados; confirmar naturalidade/tratamento em laboratório.</x:v>
      </x:c>
    </x:row>
    <x:row r="29">
      <x:c r="A29" s="12" t="str">
        <x:v>DG-EM-028</x:v>
      </x:c>
      <x:c r="B29" s="12" t="str"/>
      <x:c r="C29" s="12" t="str">
        <x:v>Emerald Collection</x:v>
      </x:c>
      <x:c r="D29" s="12" t="str">
        <x:v>Esmeraldas</x:v>
      </x:c>
      <x:c r="E29" s="12" t="str">
        <x:v>Berilo</x:v>
      </x:c>
      <x:c r="F29" s="12" t="str">
        <x:v>Esmeralda</x:v>
      </x:c>
      <x:c r="G29" s="12" t="str">
        <x:v>Gema individual</x:v>
      </x:c>
      <x:c r="H29" s="18" t="n">
        <x:v>1</x:v>
      </x:c>
      <x:c r="I29" s="12" t="str">
        <x:v>Emerald Cut retangular</x:v>
      </x:c>
      <x:c r="J29" s="12" t="str">
        <x:v>15 x 11 x 7</x:v>
      </x:c>
      <x:c r="K29" s="14" t="n">
        <x:v>12.285</x:v>
      </x:c>
      <x:c r="L29" s="12" t="str">
        <x:v>Sim</x:v>
      </x:c>
      <x:c r="M29" s="12" t="str">
        <x:v>Balança / informado</x:v>
      </x:c>
      <x:c r="N29" s="12" t="str">
        <x:v>Verde médio a intenso</x:v>
      </x:c>
      <x:c r="O29" s="12" t="str">
        <x:v>Semi-transparente a translúcida</x:v>
      </x:c>
      <x:c r="P29" s="12" t="str"/>
      <x:c r="Q29" s="12" t="str">
        <x:v>Não avaliado / não informado</x:v>
      </x:c>
      <x:c r="R29" s="12" t="str">
        <x:v>Não</x:v>
      </x:c>
      <x:c r="S29" s="12" t="str"/>
      <x:c r="T29" s="12" t="str"/>
      <x:c r="U29" s="20"/>
      <x:c r="V29" s="20"/>
      <x:c r="W29" s="20"/>
      <x:c r="X29" s="20"/>
      <x:c r="Y29" s="20"/>
      <x:c r="Z29" s="20"/>
      <x:c r="AA29" s="20"/>
      <x:c r="AB29" s="12" t="str">
        <x:v>Pendente de precificação individual</x:v>
      </x:c>
      <x:c r="AC29" s="16" t="n">
        <x:v>9</x:v>
      </x:c>
      <x:c r="AD29" s="12" t="str">
        <x:v>A+ Premium</x:v>
      </x:c>
      <x:c r="AE29" s="12" t="str">
        <x:v>A definir</x:v>
      </x:c>
      <x:c r="AF29" s="12" t="str">
        <x:v>Anel masculino premium / pingente alto padrão</x:v>
      </x:c>
      <x:c r="AG29" s="12" t="str">
        <x:v>Anel masculino premium / pingente alto padrão</x:v>
      </x:c>
      <x:c r="AH29" s="12" t="str">
        <x:v>Coleção</x:v>
      </x:c>
      <x:c r="AI29" s="12" t="str"/>
      <x:c r="AJ29" s="12" t="str"/>
      <x:c r="AK29" s="12" t="str"/>
      <x:c r="AL29" s="12" t="str"/>
      <x:c r="AM29" s="12" t="str">
        <x:v>Não informado</x:v>
      </x:c>
      <x:c r="AN29" s="12" t="str"/>
      <x:c r="AO29" s="12" t="str">
        <x:v>2026-07-01</x:v>
      </x:c>
      <x:c r="AP29" s="12" t="str">
        <x:v>2026-07-19</x:v>
      </x:c>
      <x:c r="AQ29" s="12" t="str">
        <x:v>Alta</x:v>
      </x:c>
      <x:c r="AR29" s="12" t="str">
        <x:v>Inventário mestre completo atualizado em 2026-07-01</x:v>
      </x:c>
      <x:c r="AS29" s="12" t="str">
        <x:v>Precificação individual pendente</x:v>
      </x:c>
      <x:c r="AT29" s="12" t="str">
        <x:v>Avaliação visual; tratamentos não avaliados; confirmar naturalidade/tratamento em laboratório.</x:v>
      </x:c>
    </x:row>
    <x:row r="30">
      <x:c r="A30" s="12" t="str">
        <x:v>DG-EM-029</x:v>
      </x:c>
      <x:c r="B30" s="12" t="str"/>
      <x:c r="C30" s="12" t="str">
        <x:v>Emerald Collection</x:v>
      </x:c>
      <x:c r="D30" s="12" t="str">
        <x:v>Esmeraldas</x:v>
      </x:c>
      <x:c r="E30" s="12" t="str">
        <x:v>Berilo</x:v>
      </x:c>
      <x:c r="F30" s="12" t="str">
        <x:v>Esmeralda</x:v>
      </x:c>
      <x:c r="G30" s="12" t="str">
        <x:v>Gema individual</x:v>
      </x:c>
      <x:c r="H30" s="18" t="n">
        <x:v>1</x:v>
      </x:c>
      <x:c r="I30" s="12" t="str">
        <x:v>Emerald Cut</x:v>
      </x:c>
      <x:c r="J30" s="12" t="str">
        <x:v>10 x 9 x 3</x:v>
      </x:c>
      <x:c r="K30" s="14" t="n">
        <x:v>2.79</x:v>
      </x:c>
      <x:c r="L30" s="12" t="str">
        <x:v>Sim</x:v>
      </x:c>
      <x:c r="M30" s="12" t="str">
        <x:v>Balança / informado</x:v>
      </x:c>
      <x:c r="N30" s="12" t="str">
        <x:v>Verde médio</x:v>
      </x:c>
      <x:c r="O30" s="12" t="str">
        <x:v>Semi-transparente a translúcida</x:v>
      </x:c>
      <x:c r="P30" s="12" t="str"/>
      <x:c r="Q30" s="12" t="str">
        <x:v>Não avaliado / não informado</x:v>
      </x:c>
      <x:c r="R30" s="12" t="str">
        <x:v>Não</x:v>
      </x:c>
      <x:c r="S30" s="12" t="str"/>
      <x:c r="T30" s="12" t="str"/>
      <x:c r="U30" s="20"/>
      <x:c r="V30" s="20"/>
      <x:c r="W30" s="20"/>
      <x:c r="X30" s="20"/>
      <x:c r="Y30" s="20"/>
      <x:c r="Z30" s="20"/>
      <x:c r="AA30" s="20"/>
      <x:c r="AB30" s="12" t="str">
        <x:v>Pendente de precificação individual</x:v>
      </x:c>
      <x:c r="AC30" s="16" t="n">
        <x:v>8.7</x:v>
      </x:c>
      <x:c r="AD30" s="12" t="str">
        <x:v>A</x:v>
      </x:c>
      <x:c r="AE30" s="12" t="str">
        <x:v>A definir</x:v>
      </x:c>
      <x:c r="AF30" s="12" t="str">
        <x:v>Anel, pingente ou par de brincos</x:v>
      </x:c>
      <x:c r="AG30" s="12" t="str">
        <x:v>Anel, pingente ou par de brincos</x:v>
      </x:c>
      <x:c r="AH30" s="12" t="str">
        <x:v>Coleção</x:v>
      </x:c>
      <x:c r="AI30" s="12" t="str"/>
      <x:c r="AJ30" s="12" t="str"/>
      <x:c r="AK30" s="12" t="str"/>
      <x:c r="AL30" s="12" t="str"/>
      <x:c r="AM30" s="12" t="str">
        <x:v>Não informado</x:v>
      </x:c>
      <x:c r="AN30" s="12" t="str"/>
      <x:c r="AO30" s="12" t="str">
        <x:v>2026-07-01</x:v>
      </x:c>
      <x:c r="AP30" s="12" t="str">
        <x:v>2026-07-19</x:v>
      </x:c>
      <x:c r="AQ30" s="12" t="str">
        <x:v>Alta</x:v>
      </x:c>
      <x:c r="AR30" s="12" t="str">
        <x:v>Inventário mestre completo atualizado em 2026-07-01</x:v>
      </x:c>
      <x:c r="AS30" s="12" t="str">
        <x:v>Precificação individual pendente</x:v>
      </x:c>
      <x:c r="AT30" s="12" t="str">
        <x:v>Avaliação visual; tratamentos não avaliados; confirmar naturalidade/tratamento em laboratório.</x:v>
      </x:c>
    </x:row>
    <x:row r="31">
      <x:c r="A31" s="12" t="str">
        <x:v>DG-EM-030</x:v>
      </x:c>
      <x:c r="B31" s="12" t="str"/>
      <x:c r="C31" s="12" t="str">
        <x:v>Emerald Collection</x:v>
      </x:c>
      <x:c r="D31" s="12" t="str">
        <x:v>Esmeraldas</x:v>
      </x:c>
      <x:c r="E31" s="12" t="str">
        <x:v>Berilo</x:v>
      </x:c>
      <x:c r="F31" s="12" t="str">
        <x:v>Esmeralda</x:v>
      </x:c>
      <x:c r="G31" s="12" t="str">
        <x:v>Gema individual</x:v>
      </x:c>
      <x:c r="H31" s="18" t="n">
        <x:v>1</x:v>
      </x:c>
      <x:c r="I31" s="12" t="str">
        <x:v>Emerald Cut</x:v>
      </x:c>
      <x:c r="J31" s="12" t="str">
        <x:v>11 x 9 x 6</x:v>
      </x:c>
      <x:c r="K31" s="14" t="n">
        <x:v>5.19</x:v>
      </x:c>
      <x:c r="L31" s="12" t="str">
        <x:v>Sim</x:v>
      </x:c>
      <x:c r="M31" s="12" t="str">
        <x:v>Balança / informado</x:v>
      </x:c>
      <x:c r="N31" s="12" t="str">
        <x:v>Verde médio a intenso</x:v>
      </x:c>
      <x:c r="O31" s="12" t="str">
        <x:v>Semi-transparente a translúcida</x:v>
      </x:c>
      <x:c r="P31" s="12" t="str"/>
      <x:c r="Q31" s="12" t="str">
        <x:v>Não avaliado / não informado</x:v>
      </x:c>
      <x:c r="R31" s="12" t="str">
        <x:v>Não</x:v>
      </x:c>
      <x:c r="S31" s="12" t="str"/>
      <x:c r="T31" s="12" t="str"/>
      <x:c r="U31" s="20"/>
      <x:c r="V31" s="20"/>
      <x:c r="W31" s="20"/>
      <x:c r="X31" s="20"/>
      <x:c r="Y31" s="20"/>
      <x:c r="Z31" s="20"/>
      <x:c r="AA31" s="20"/>
      <x:c r="AB31" s="12" t="str">
        <x:v>Pendente de precificação individual</x:v>
      </x:c>
      <x:c r="AC31" s="16" t="n">
        <x:v>9</x:v>
      </x:c>
      <x:c r="AD31" s="12" t="str">
        <x:v>A+</x:v>
      </x:c>
      <x:c r="AE31" s="12" t="str">
        <x:v>A definir</x:v>
      </x:c>
      <x:c r="AF31" s="12" t="str">
        <x:v>Anel de destaque / pingente alto padrão</x:v>
      </x:c>
      <x:c r="AG31" s="12" t="str">
        <x:v>Anel de destaque / pingente alto padrão</x:v>
      </x:c>
      <x:c r="AH31" s="12" t="str">
        <x:v>Coleção</x:v>
      </x:c>
      <x:c r="AI31" s="12" t="str"/>
      <x:c r="AJ31" s="12" t="str"/>
      <x:c r="AK31" s="12" t="str"/>
      <x:c r="AL31" s="12" t="str"/>
      <x:c r="AM31" s="12" t="str">
        <x:v>Não informado</x:v>
      </x:c>
      <x:c r="AN31" s="12" t="str"/>
      <x:c r="AO31" s="12" t="str">
        <x:v>2026-07-01</x:v>
      </x:c>
      <x:c r="AP31" s="12" t="str">
        <x:v>2026-07-19</x:v>
      </x:c>
      <x:c r="AQ31" s="12" t="str">
        <x:v>Alta</x:v>
      </x:c>
      <x:c r="AR31" s="12" t="str">
        <x:v>Inventário mestre completo atualizado em 2026-07-01</x:v>
      </x:c>
      <x:c r="AS31" s="12" t="str">
        <x:v>Precificação individual pendente</x:v>
      </x:c>
      <x:c r="AT31" s="12" t="str">
        <x:v>Avaliação visual; tratamentos não avaliados; confirmar naturalidade/tratamento em laboratório.</x:v>
      </x:c>
    </x:row>
    <x:row r="32">
      <x:c r="A32" s="12" t="str">
        <x:v>DG-EM-031</x:v>
      </x:c>
      <x:c r="B32" s="12" t="str"/>
      <x:c r="C32" s="12" t="str">
        <x:v>Emerald Collection</x:v>
      </x:c>
      <x:c r="D32" s="12" t="str">
        <x:v>Esmeraldas</x:v>
      </x:c>
      <x:c r="E32" s="12" t="str">
        <x:v>Berilo</x:v>
      </x:c>
      <x:c r="F32" s="12" t="str">
        <x:v>Esmeralda</x:v>
      </x:c>
      <x:c r="G32" s="12" t="str">
        <x:v>Gema individual</x:v>
      </x:c>
      <x:c r="H32" s="18" t="n">
        <x:v>1</x:v>
      </x:c>
      <x:c r="I32" s="12" t="str">
        <x:v>Navete / Marquise</x:v>
      </x:c>
      <x:c r="J32" s="12" t="str">
        <x:v>19 x 8 x 5</x:v>
      </x:c>
      <x:c r="K32" s="14" t="n">
        <x:v>6.18</x:v>
      </x:c>
      <x:c r="L32" s="12" t="str">
        <x:v>Sim</x:v>
      </x:c>
      <x:c r="M32" s="12" t="str">
        <x:v>Balança / informado</x:v>
      </x:c>
      <x:c r="N32" s="12" t="str">
        <x:v>Verde médio levemente azulado</x:v>
      </x:c>
      <x:c r="O32" s="12" t="str">
        <x:v>Semi-transparente a translúcida</x:v>
      </x:c>
      <x:c r="P32" s="12" t="str"/>
      <x:c r="Q32" s="12" t="str">
        <x:v>Não avaliado / não informado</x:v>
      </x:c>
      <x:c r="R32" s="12" t="str">
        <x:v>Não</x:v>
      </x:c>
      <x:c r="S32" s="12" t="str"/>
      <x:c r="T32" s="12" t="str"/>
      <x:c r="U32" s="20"/>
      <x:c r="V32" s="20"/>
      <x:c r="W32" s="20"/>
      <x:c r="X32" s="20"/>
      <x:c r="Y32" s="20"/>
      <x:c r="Z32" s="20"/>
      <x:c r="AA32" s="20"/>
      <x:c r="AB32" s="12" t="str">
        <x:v>Pendente de precificação individual</x:v>
      </x:c>
      <x:c r="AC32" s="16" t="n">
        <x:v>9.1</x:v>
      </x:c>
      <x:c r="AD32" s="12" t="str">
        <x:v>A+</x:v>
      </x:c>
      <x:c r="AE32" s="12" t="str">
        <x:v>A definir</x:v>
      </x:c>
      <x:c r="AF32" s="12" t="str">
        <x:v>Anel de luxo / pingente / broche</x:v>
      </x:c>
      <x:c r="AG32" s="12" t="str">
        <x:v>Anel de luxo / pingente / broche</x:v>
      </x:c>
      <x:c r="AH32" s="12" t="str">
        <x:v>Coleção</x:v>
      </x:c>
      <x:c r="AI32" s="12" t="str"/>
      <x:c r="AJ32" s="12" t="str"/>
      <x:c r="AK32" s="12" t="str"/>
      <x:c r="AL32" s="12" t="str"/>
      <x:c r="AM32" s="12" t="str">
        <x:v>Não informado</x:v>
      </x:c>
      <x:c r="AN32" s="12" t="str"/>
      <x:c r="AO32" s="12" t="str">
        <x:v>2026-07-01</x:v>
      </x:c>
      <x:c r="AP32" s="12" t="str">
        <x:v>2026-07-19</x:v>
      </x:c>
      <x:c r="AQ32" s="12" t="str">
        <x:v>Alta</x:v>
      </x:c>
      <x:c r="AR32" s="12" t="str">
        <x:v>Inventário mestre completo atualizado em 2026-07-01</x:v>
      </x:c>
      <x:c r="AS32" s="12" t="str">
        <x:v>Precificação individual pendente</x:v>
      </x:c>
      <x:c r="AT32" s="12" t="str">
        <x:v>Avaliação visual; tratamentos não avaliados; confirmar naturalidade/tratamento em laboratório.</x:v>
      </x:c>
    </x:row>
    <x:row r="33">
      <x:c r="A33" s="12" t="str">
        <x:v>DG-EM-032</x:v>
      </x:c>
      <x:c r="B33" s="12" t="str"/>
      <x:c r="C33" s="12" t="str">
        <x:v>Emerald Collection</x:v>
      </x:c>
      <x:c r="D33" s="12" t="str">
        <x:v>Esmeraldas</x:v>
      </x:c>
      <x:c r="E33" s="12" t="str">
        <x:v>Berilo</x:v>
      </x:c>
      <x:c r="F33" s="12" t="str">
        <x:v>Esmeralda</x:v>
      </x:c>
      <x:c r="G33" s="12" t="str">
        <x:v>Gema individual</x:v>
      </x:c>
      <x:c r="H33" s="18" t="n">
        <x:v>1</x:v>
      </x:c>
      <x:c r="I33" s="12" t="str">
        <x:v>Oval mista</x:v>
      </x:c>
      <x:c r="J33" s="12" t="str">
        <x:v>11 x 7 x 4</x:v>
      </x:c>
      <x:c r="K33" s="14" t="n">
        <x:v>2</x:v>
      </x:c>
      <x:c r="L33" s="12" t="str">
        <x:v>Sim</x:v>
      </x:c>
      <x:c r="M33" s="12" t="str">
        <x:v>Balança / informado</x:v>
      </x:c>
      <x:c r="N33" s="12" t="str">
        <x:v>Verde médio azulado</x:v>
      </x:c>
      <x:c r="O33" s="12" t="str">
        <x:v>Semi-transparente a translúcida</x:v>
      </x:c>
      <x:c r="P33" s="12" t="str"/>
      <x:c r="Q33" s="12" t="str">
        <x:v>Não avaliado / não informado</x:v>
      </x:c>
      <x:c r="R33" s="12" t="str">
        <x:v>Não</x:v>
      </x:c>
      <x:c r="S33" s="12" t="str"/>
      <x:c r="T33" s="12" t="str"/>
      <x:c r="U33" s="20"/>
      <x:c r="V33" s="20"/>
      <x:c r="W33" s="20"/>
      <x:c r="X33" s="20"/>
      <x:c r="Y33" s="20"/>
      <x:c r="Z33" s="20"/>
      <x:c r="AA33" s="20"/>
      <x:c r="AB33" s="12" t="str">
        <x:v>Pendente de precificação individual</x:v>
      </x:c>
      <x:c r="AC33" s="16" t="n">
        <x:v>8.6</x:v>
      </x:c>
      <x:c r="AD33" s="12" t="str">
        <x:v>A</x:v>
      </x:c>
      <x:c r="AE33" s="12" t="str">
        <x:v>A definir</x:v>
      </x:c>
      <x:c r="AF33" s="12" t="str">
        <x:v>Anel elegante / pingente / brincos</x:v>
      </x:c>
      <x:c r="AG33" s="12" t="str">
        <x:v>Anel elegante / pingente / brincos</x:v>
      </x:c>
      <x:c r="AH33" s="12" t="str">
        <x:v>Coleção</x:v>
      </x:c>
      <x:c r="AI33" s="12" t="str"/>
      <x:c r="AJ33" s="12" t="str"/>
      <x:c r="AK33" s="12" t="str"/>
      <x:c r="AL33" s="12" t="str"/>
      <x:c r="AM33" s="12" t="str">
        <x:v>Não informado</x:v>
      </x:c>
      <x:c r="AN33" s="12" t="str"/>
      <x:c r="AO33" s="12" t="str">
        <x:v>2026-07-01</x:v>
      </x:c>
      <x:c r="AP33" s="12" t="str">
        <x:v>2026-07-19</x:v>
      </x:c>
      <x:c r="AQ33" s="12" t="str">
        <x:v>Alta</x:v>
      </x:c>
      <x:c r="AR33" s="12" t="str">
        <x:v>Inventário mestre completo atualizado em 2026-07-01</x:v>
      </x:c>
      <x:c r="AS33" s="12" t="str">
        <x:v>Precificação individual pendente</x:v>
      </x:c>
      <x:c r="AT33" s="12" t="str">
        <x:v>Avaliação visual; tratamentos não avaliados; confirmar naturalidade/tratamento em laboratório.</x:v>
      </x:c>
    </x:row>
    <x:row r="34">
      <x:c r="A34" s="12" t="str">
        <x:v>DG-EM-033</x:v>
      </x:c>
      <x:c r="B34" s="12" t="str"/>
      <x:c r="C34" s="12" t="str">
        <x:v>Emerald Collection</x:v>
      </x:c>
      <x:c r="D34" s="12" t="str">
        <x:v>Esmeraldas</x:v>
      </x:c>
      <x:c r="E34" s="12" t="str">
        <x:v>Berilo</x:v>
      </x:c>
      <x:c r="F34" s="12" t="str">
        <x:v>Esmeralda</x:v>
      </x:c>
      <x:c r="G34" s="12" t="str">
        <x:v>Gema individual</x:v>
      </x:c>
      <x:c r="H34" s="18" t="n">
        <x:v>1</x:v>
      </x:c>
      <x:c r="I34" s="12" t="str">
        <x:v>Oval mista</x:v>
      </x:c>
      <x:c r="J34" s="12" t="str">
        <x:v>10 x 6 x 5</x:v>
      </x:c>
      <x:c r="K34" s="14" t="n">
        <x:v>2.125</x:v>
      </x:c>
      <x:c r="L34" s="12" t="str">
        <x:v>Sim</x:v>
      </x:c>
      <x:c r="M34" s="12" t="str">
        <x:v>Balança / informado</x:v>
      </x:c>
      <x:c r="N34" s="12" t="str">
        <x:v>Verde médio vivo</x:v>
      </x:c>
      <x:c r="O34" s="12" t="str">
        <x:v>Semi-transparente a translúcida</x:v>
      </x:c>
      <x:c r="P34" s="12" t="str"/>
      <x:c r="Q34" s="12" t="str">
        <x:v>Não avaliado / não informado</x:v>
      </x:c>
      <x:c r="R34" s="12" t="str">
        <x:v>Não</x:v>
      </x:c>
      <x:c r="S34" s="12" t="str"/>
      <x:c r="T34" s="12" t="str"/>
      <x:c r="U34" s="20"/>
      <x:c r="V34" s="20"/>
      <x:c r="W34" s="20"/>
      <x:c r="X34" s="20"/>
      <x:c r="Y34" s="20"/>
      <x:c r="Z34" s="20"/>
      <x:c r="AA34" s="20"/>
      <x:c r="AB34" s="12" t="str">
        <x:v>Pendente de precificação individual</x:v>
      </x:c>
      <x:c r="AC34" s="16" t="n">
        <x:v>8.8</x:v>
      </x:c>
      <x:c r="AD34" s="12" t="str">
        <x:v>A</x:v>
      </x:c>
      <x:c r="AE34" s="12" t="str">
        <x:v>A definir</x:v>
      </x:c>
      <x:c r="AF34" s="12" t="str">
        <x:v>Par de brincos / anel / pingente</x:v>
      </x:c>
      <x:c r="AG34" s="12" t="str">
        <x:v>Par de brincos / anel / pingente</x:v>
      </x:c>
      <x:c r="AH34" s="12" t="str">
        <x:v>Coleção</x:v>
      </x:c>
      <x:c r="AI34" s="12" t="str"/>
      <x:c r="AJ34" s="12" t="str"/>
      <x:c r="AK34" s="12" t="str"/>
      <x:c r="AL34" s="12" t="str"/>
      <x:c r="AM34" s="12" t="str">
        <x:v>Não informado</x:v>
      </x:c>
      <x:c r="AN34" s="12" t="str"/>
      <x:c r="AO34" s="12" t="str">
        <x:v>2026-07-01</x:v>
      </x:c>
      <x:c r="AP34" s="12" t="str">
        <x:v>2026-07-19</x:v>
      </x:c>
      <x:c r="AQ34" s="12" t="str">
        <x:v>Alta</x:v>
      </x:c>
      <x:c r="AR34" s="12" t="str">
        <x:v>Inventário mestre completo atualizado em 2026-07-01</x:v>
      </x:c>
      <x:c r="AS34" s="12" t="str">
        <x:v>Precificação individual pendente</x:v>
      </x:c>
      <x:c r="AT34" s="12" t="str">
        <x:v>Avaliação visual; tratamentos não avaliados; confirmar naturalidade/tratamento em laboratório.</x:v>
      </x:c>
    </x:row>
    <x:row r="35">
      <x:c r="A35" s="12" t="str">
        <x:v>DG-EM-034</x:v>
      </x:c>
      <x:c r="B35" s="12" t="str"/>
      <x:c r="C35" s="12" t="str">
        <x:v>Emerald Collection</x:v>
      </x:c>
      <x:c r="D35" s="12" t="str">
        <x:v>Esmeraldas</x:v>
      </x:c>
      <x:c r="E35" s="12" t="str">
        <x:v>Berilo</x:v>
      </x:c>
      <x:c r="F35" s="12" t="str">
        <x:v>Esmeralda</x:v>
      </x:c>
      <x:c r="G35" s="12" t="str">
        <x:v>Gema individual</x:v>
      </x:c>
      <x:c r="H35" s="18" t="n">
        <x:v>1</x:v>
      </x:c>
      <x:c r="I35" s="12" t="str">
        <x:v>Oval mista</x:v>
      </x:c>
      <x:c r="J35" s="12" t="str">
        <x:v>10 x 6 x 5</x:v>
      </x:c>
      <x:c r="K35" s="14" t="n">
        <x:v>1.825</x:v>
      </x:c>
      <x:c r="L35" s="12" t="str">
        <x:v>Sim</x:v>
      </x:c>
      <x:c r="M35" s="12" t="str">
        <x:v>Balança / informado</x:v>
      </x:c>
      <x:c r="N35" s="12" t="str">
        <x:v>Verde médio vivo</x:v>
      </x:c>
      <x:c r="O35" s="12" t="str">
        <x:v>Semi-transparente a translúcida</x:v>
      </x:c>
      <x:c r="P35" s="12" t="str"/>
      <x:c r="Q35" s="12" t="str">
        <x:v>Não avaliado / não informado</x:v>
      </x:c>
      <x:c r="R35" s="12" t="str">
        <x:v>Não</x:v>
      </x:c>
      <x:c r="S35" s="12" t="str"/>
      <x:c r="T35" s="12" t="str"/>
      <x:c r="U35" s="20"/>
      <x:c r="V35" s="20"/>
      <x:c r="W35" s="20"/>
      <x:c r="X35" s="20"/>
      <x:c r="Y35" s="20"/>
      <x:c r="Z35" s="20"/>
      <x:c r="AA35" s="20"/>
      <x:c r="AB35" s="12" t="str">
        <x:v>Pendente de precificação individual</x:v>
      </x:c>
      <x:c r="AC35" s="16" t="n">
        <x:v>8.7</x:v>
      </x:c>
      <x:c r="AD35" s="12" t="str">
        <x:v>A</x:v>
      </x:c>
      <x:c r="AE35" s="12" t="str">
        <x:v>A definir</x:v>
      </x:c>
      <x:c r="AF35" s="12" t="str">
        <x:v>Par de brincos / anel / pingente</x:v>
      </x:c>
      <x:c r="AG35" s="12" t="str">
        <x:v>Par de brincos / anel / pingente</x:v>
      </x:c>
      <x:c r="AH35" s="12" t="str">
        <x:v>Coleção</x:v>
      </x:c>
      <x:c r="AI35" s="12" t="str"/>
      <x:c r="AJ35" s="12" t="str"/>
      <x:c r="AK35" s="12" t="str"/>
      <x:c r="AL35" s="12" t="str"/>
      <x:c r="AM35" s="12" t="str">
        <x:v>Não informado</x:v>
      </x:c>
      <x:c r="AN35" s="12" t="str"/>
      <x:c r="AO35" s="12" t="str">
        <x:v>2026-07-01</x:v>
      </x:c>
      <x:c r="AP35" s="12" t="str">
        <x:v>2026-07-19</x:v>
      </x:c>
      <x:c r="AQ35" s="12" t="str">
        <x:v>Alta</x:v>
      </x:c>
      <x:c r="AR35" s="12" t="str">
        <x:v>Inventário mestre completo atualizado em 2026-07-01</x:v>
      </x:c>
      <x:c r="AS35" s="12" t="str">
        <x:v>Precificação individual pendente</x:v>
      </x:c>
      <x:c r="AT35" s="12" t="str">
        <x:v>Avaliação visual; tratamentos não avaliados; confirmar naturalidade/tratamento em laboratório.</x:v>
      </x:c>
    </x:row>
    <x:row r="36">
      <x:c r="A36" s="12" t="str">
        <x:v>DG-EM-035</x:v>
      </x:c>
      <x:c r="B36" s="12" t="str"/>
      <x:c r="C36" s="12" t="str">
        <x:v>Emerald Collection</x:v>
      </x:c>
      <x:c r="D36" s="12" t="str">
        <x:v>Esmeraldas</x:v>
      </x:c>
      <x:c r="E36" s="12" t="str">
        <x:v>Berilo</x:v>
      </x:c>
      <x:c r="F36" s="12" t="str">
        <x:v>Esmeralda</x:v>
      </x:c>
      <x:c r="G36" s="12" t="str">
        <x:v>Gema individual</x:v>
      </x:c>
      <x:c r="H36" s="18" t="n">
        <x:v>1</x:v>
      </x:c>
      <x:c r="I36" s="12" t="str">
        <x:v>Octogonal / Emerald Cut</x:v>
      </x:c>
      <x:c r="J36" s="12" t="str">
        <x:v>7 x 7 x 4</x:v>
      </x:c>
      <x:c r="K36" s="14" t="n">
        <x:v>1.62</x:v>
      </x:c>
      <x:c r="L36" s="12" t="str">
        <x:v>Sim</x:v>
      </x:c>
      <x:c r="M36" s="12" t="str">
        <x:v>Balança / informado</x:v>
      </x:c>
      <x:c r="N36" s="12" t="str">
        <x:v>Verde médio azulado</x:v>
      </x:c>
      <x:c r="O36" s="12" t="str">
        <x:v>Semi-transparente a translúcida</x:v>
      </x:c>
      <x:c r="P36" s="12" t="str"/>
      <x:c r="Q36" s="12" t="str">
        <x:v>Não avaliado / não informado</x:v>
      </x:c>
      <x:c r="R36" s="12" t="str">
        <x:v>Não</x:v>
      </x:c>
      <x:c r="S36" s="12" t="str"/>
      <x:c r="T36" s="12" t="str"/>
      <x:c r="U36" s="20"/>
      <x:c r="V36" s="20"/>
      <x:c r="W36" s="20"/>
      <x:c r="X36" s="20"/>
      <x:c r="Y36" s="20"/>
      <x:c r="Z36" s="20"/>
      <x:c r="AA36" s="20"/>
      <x:c r="AB36" s="12" t="str">
        <x:v>Pendente de precificação individual</x:v>
      </x:c>
      <x:c r="AC36" s="16" t="n">
        <x:v>8.5</x:v>
      </x:c>
      <x:c r="AD36" s="12" t="str">
        <x:v>A-</x:v>
      </x:c>
      <x:c r="AE36" s="12" t="str">
        <x:v>A definir</x:v>
      </x:c>
      <x:c r="AF36" s="12" t="str">
        <x:v>Anel solitário delicado / pingente</x:v>
      </x:c>
      <x:c r="AG36" s="12" t="str">
        <x:v>Anel solitário delicado / pingente</x:v>
      </x:c>
      <x:c r="AH36" s="12" t="str">
        <x:v>Coleção</x:v>
      </x:c>
      <x:c r="AI36" s="12" t="str"/>
      <x:c r="AJ36" s="12" t="str"/>
      <x:c r="AK36" s="12" t="str"/>
      <x:c r="AL36" s="12" t="str"/>
      <x:c r="AM36" s="12" t="str">
        <x:v>Não informado</x:v>
      </x:c>
      <x:c r="AN36" s="12" t="str"/>
      <x:c r="AO36" s="12" t="str">
        <x:v>2026-07-01</x:v>
      </x:c>
      <x:c r="AP36" s="12" t="str">
        <x:v>2026-07-19</x:v>
      </x:c>
      <x:c r="AQ36" s="12" t="str">
        <x:v>Alta</x:v>
      </x:c>
      <x:c r="AR36" s="12" t="str">
        <x:v>Inventário mestre completo atualizado em 2026-07-01</x:v>
      </x:c>
      <x:c r="AS36" s="12" t="str">
        <x:v>Precificação individual pendente</x:v>
      </x:c>
      <x:c r="AT36" s="12" t="str">
        <x:v>Avaliação visual; tratamentos não avaliados; confirmar naturalidade/tratamento em laboratório.</x:v>
      </x:c>
    </x:row>
    <x:row r="37">
      <x:c r="A37" s="12" t="str">
        <x:v>DG-EM-036</x:v>
      </x:c>
      <x:c r="B37" s="12" t="str"/>
      <x:c r="C37" s="12" t="str">
        <x:v>Emerald Collection</x:v>
      </x:c>
      <x:c r="D37" s="12" t="str">
        <x:v>Esmeraldas</x:v>
      </x:c>
      <x:c r="E37" s="12" t="str">
        <x:v>Berilo</x:v>
      </x:c>
      <x:c r="F37" s="12" t="str">
        <x:v>Esmeralda</x:v>
      </x:c>
      <x:c r="G37" s="12" t="str">
        <x:v>Gema individual</x:v>
      </x:c>
      <x:c r="H37" s="18" t="n">
        <x:v>1</x:v>
      </x:c>
      <x:c r="I37" s="12" t="str">
        <x:v>Octogonal / Emerald Cut</x:v>
      </x:c>
      <x:c r="J37" s="12" t="str">
        <x:v>7 x 7 x 4</x:v>
      </x:c>
      <x:c r="K37" s="14" t="n">
        <x:v>1.845</x:v>
      </x:c>
      <x:c r="L37" s="12" t="str">
        <x:v>Sim</x:v>
      </x:c>
      <x:c r="M37" s="12" t="str">
        <x:v>Balança / informado</x:v>
      </x:c>
      <x:c r="N37" s="12" t="str">
        <x:v>Verde médio a médio-intenso</x:v>
      </x:c>
      <x:c r="O37" s="12" t="str">
        <x:v>Semi-transparente a translúcida</x:v>
      </x:c>
      <x:c r="P37" s="12" t="str"/>
      <x:c r="Q37" s="12" t="str">
        <x:v>Não avaliado / não informado</x:v>
      </x:c>
      <x:c r="R37" s="12" t="str">
        <x:v>Não</x:v>
      </x:c>
      <x:c r="S37" s="12" t="str"/>
      <x:c r="T37" s="12" t="str"/>
      <x:c r="U37" s="20"/>
      <x:c r="V37" s="20"/>
      <x:c r="W37" s="20"/>
      <x:c r="X37" s="20"/>
      <x:c r="Y37" s="20"/>
      <x:c r="Z37" s="20"/>
      <x:c r="AA37" s="20"/>
      <x:c r="AB37" s="12" t="str">
        <x:v>Pendente de precificação individual</x:v>
      </x:c>
      <x:c r="AC37" s="16" t="n">
        <x:v>8.8</x:v>
      </x:c>
      <x:c r="AD37" s="12" t="str">
        <x:v>A</x:v>
      </x:c>
      <x:c r="AE37" s="12" t="str">
        <x:v>A definir</x:v>
      </x:c>
      <x:c r="AF37" s="12" t="str">
        <x:v>Anel solitário / brincos / pingente</x:v>
      </x:c>
      <x:c r="AG37" s="12" t="str">
        <x:v>Anel solitário / brincos / pingente</x:v>
      </x:c>
      <x:c r="AH37" s="12" t="str">
        <x:v>Coleção</x:v>
      </x:c>
      <x:c r="AI37" s="12" t="str"/>
      <x:c r="AJ37" s="12" t="str"/>
      <x:c r="AK37" s="12" t="str"/>
      <x:c r="AL37" s="12" t="str"/>
      <x:c r="AM37" s="12" t="str">
        <x:v>Não informado</x:v>
      </x:c>
      <x:c r="AN37" s="12" t="str"/>
      <x:c r="AO37" s="12" t="str">
        <x:v>2026-07-01</x:v>
      </x:c>
      <x:c r="AP37" s="12" t="str">
        <x:v>2026-07-19</x:v>
      </x:c>
      <x:c r="AQ37" s="12" t="str">
        <x:v>Alta</x:v>
      </x:c>
      <x:c r="AR37" s="12" t="str">
        <x:v>Inventário mestre completo atualizado em 2026-07-01</x:v>
      </x:c>
      <x:c r="AS37" s="12" t="str">
        <x:v>Precificação individual pendente</x:v>
      </x:c>
      <x:c r="AT37" s="12" t="str">
        <x:v>Avaliação visual; tratamentos não avaliados; confirmar naturalidade/tratamento em laboratório.</x:v>
      </x:c>
    </x:row>
    <x:row r="38">
      <x:c r="A38" s="12" t="str">
        <x:v>DG-EM-037</x:v>
      </x:c>
      <x:c r="B38" s="12" t="str"/>
      <x:c r="C38" s="12" t="str">
        <x:v>Emerald Collection</x:v>
      </x:c>
      <x:c r="D38" s="12" t="str">
        <x:v>Esmeraldas</x:v>
      </x:c>
      <x:c r="E38" s="12" t="str">
        <x:v>Berilo</x:v>
      </x:c>
      <x:c r="F38" s="12" t="str">
        <x:v>Esmeralda</x:v>
      </x:c>
      <x:c r="G38" s="12" t="str">
        <x:v>Gema individual</x:v>
      </x:c>
      <x:c r="H38" s="18" t="n">
        <x:v>1</x:v>
      </x:c>
      <x:c r="I38" s="12" t="str">
        <x:v>Octogonal / Emerald Cut</x:v>
      </x:c>
      <x:c r="J38" s="12" t="str">
        <x:v>7 x 7 x 4</x:v>
      </x:c>
      <x:c r="K38" s="14" t="n">
        <x:v>1.7</x:v>
      </x:c>
      <x:c r="L38" s="12" t="str">
        <x:v>Sim</x:v>
      </x:c>
      <x:c r="M38" s="12" t="str">
        <x:v>Balança / informado</x:v>
      </x:c>
      <x:c r="N38" s="12" t="str">
        <x:v>Verde médio azulado</x:v>
      </x:c>
      <x:c r="O38" s="12" t="str">
        <x:v>Semi-transparente a translúcida</x:v>
      </x:c>
      <x:c r="P38" s="12" t="str"/>
      <x:c r="Q38" s="12" t="str">
        <x:v>Não avaliado / não informado</x:v>
      </x:c>
      <x:c r="R38" s="12" t="str">
        <x:v>Não</x:v>
      </x:c>
      <x:c r="S38" s="12" t="str"/>
      <x:c r="T38" s="12" t="str"/>
      <x:c r="U38" s="20"/>
      <x:c r="V38" s="20"/>
      <x:c r="W38" s="20"/>
      <x:c r="X38" s="20"/>
      <x:c r="Y38" s="20"/>
      <x:c r="Z38" s="20"/>
      <x:c r="AA38" s="20"/>
      <x:c r="AB38" s="12" t="str">
        <x:v>Pendente de precificação individual</x:v>
      </x:c>
      <x:c r="AC38" s="16" t="n">
        <x:v>8.6</x:v>
      </x:c>
      <x:c r="AD38" s="12" t="str">
        <x:v>A</x:v>
      </x:c>
      <x:c r="AE38" s="12" t="str">
        <x:v>A definir</x:v>
      </x:c>
      <x:c r="AF38" s="12" t="str">
        <x:v>Anel delicado / brincos / pingente</x:v>
      </x:c>
      <x:c r="AG38" s="12" t="str">
        <x:v>Anel delicado / brincos / pingente</x:v>
      </x:c>
      <x:c r="AH38" s="12" t="str">
        <x:v>Coleção</x:v>
      </x:c>
      <x:c r="AI38" s="12" t="str"/>
      <x:c r="AJ38" s="12" t="str"/>
      <x:c r="AK38" s="12" t="str"/>
      <x:c r="AL38" s="12" t="str"/>
      <x:c r="AM38" s="12" t="str">
        <x:v>Não informado</x:v>
      </x:c>
      <x:c r="AN38" s="12" t="str"/>
      <x:c r="AO38" s="12" t="str">
        <x:v>2026-07-01</x:v>
      </x:c>
      <x:c r="AP38" s="12" t="str">
        <x:v>2026-07-19</x:v>
      </x:c>
      <x:c r="AQ38" s="12" t="str">
        <x:v>Alta</x:v>
      </x:c>
      <x:c r="AR38" s="12" t="str">
        <x:v>Inventário mestre completo atualizado em 2026-07-01</x:v>
      </x:c>
      <x:c r="AS38" s="12" t="str">
        <x:v>Precificação individual pendente</x:v>
      </x:c>
      <x:c r="AT38" s="12" t="str">
        <x:v>Avaliação visual; tratamentos não avaliados; confirmar naturalidade/tratamento em laboratório.</x:v>
      </x:c>
    </x:row>
    <x:row r="39">
      <x:c r="A39" s="12" t="str">
        <x:v>DG-EM-038</x:v>
      </x:c>
      <x:c r="B39" s="12" t="str"/>
      <x:c r="C39" s="12" t="str">
        <x:v>Emerald Collection</x:v>
      </x:c>
      <x:c r="D39" s="12" t="str">
        <x:v>Esmeraldas</x:v>
      </x:c>
      <x:c r="E39" s="12" t="str">
        <x:v>Berilo</x:v>
      </x:c>
      <x:c r="F39" s="12" t="str">
        <x:v>Esmeralda</x:v>
      </x:c>
      <x:c r="G39" s="12" t="str">
        <x:v>Gema individual</x:v>
      </x:c>
      <x:c r="H39" s="18" t="n">
        <x:v>1</x:v>
      </x:c>
      <x:c r="I39" s="12" t="str">
        <x:v>Oval</x:v>
      </x:c>
      <x:c r="J39" s="12" t="str">
        <x:v>8 x 6 x 3</x:v>
      </x:c>
      <x:c r="K39" s="14" t="n">
        <x:v>0.76</x:v>
      </x:c>
      <x:c r="L39" s="12" t="str">
        <x:v>Sim</x:v>
      </x:c>
      <x:c r="M39" s="12" t="str">
        <x:v>Balança / informado</x:v>
      </x:c>
      <x:c r="N39" s="12" t="str">
        <x:v>Verde médio-escuro</x:v>
      </x:c>
      <x:c r="O39" s="12" t="str">
        <x:v>Semi-transparente a translúcida</x:v>
      </x:c>
      <x:c r="P39" s="12" t="str"/>
      <x:c r="Q39" s="12" t="str">
        <x:v>Não avaliado / não informado</x:v>
      </x:c>
      <x:c r="R39" s="12" t="str">
        <x:v>Não</x:v>
      </x:c>
      <x:c r="S39" s="12" t="str"/>
      <x:c r="T39" s="12" t="str"/>
      <x:c r="U39" s="20"/>
      <x:c r="V39" s="20"/>
      <x:c r="W39" s="20"/>
      <x:c r="X39" s="20"/>
      <x:c r="Y39" s="20"/>
      <x:c r="Z39" s="20"/>
      <x:c r="AA39" s="20"/>
      <x:c r="AB39" s="12" t="str">
        <x:v>Pendente de precificação individual</x:v>
      </x:c>
      <x:c r="AC39" s="16" t="n">
        <x:v>7.8</x:v>
      </x:c>
      <x:c r="AD39" s="12" t="str">
        <x:v>B+</x:v>
      </x:c>
      <x:c r="AE39" s="12" t="str">
        <x:v>A definir</x:v>
      </x:c>
      <x:c r="AF39" s="12" t="str">
        <x:v>Joias de entrada / anel delicado</x:v>
      </x:c>
      <x:c r="AG39" s="12" t="str">
        <x:v>Joias de entrada / anel delicado</x:v>
      </x:c>
      <x:c r="AH39" s="12" t="str">
        <x:v>Coleção</x:v>
      </x:c>
      <x:c r="AI39" s="12" t="str"/>
      <x:c r="AJ39" s="12" t="str"/>
      <x:c r="AK39" s="12" t="str"/>
      <x:c r="AL39" s="12" t="str"/>
      <x:c r="AM39" s="12" t="str">
        <x:v>Não informado</x:v>
      </x:c>
      <x:c r="AN39" s="12" t="str"/>
      <x:c r="AO39" s="12" t="str">
        <x:v>2026-07-01</x:v>
      </x:c>
      <x:c r="AP39" s="12" t="str">
        <x:v>2026-07-19</x:v>
      </x:c>
      <x:c r="AQ39" s="12" t="str">
        <x:v>Alta</x:v>
      </x:c>
      <x:c r="AR39" s="12" t="str">
        <x:v>Inventário mestre completo atualizado em 2026-07-01</x:v>
      </x:c>
      <x:c r="AS39" s="12" t="str">
        <x:v>Precificação individual pendente</x:v>
      </x:c>
      <x:c r="AT39" s="12" t="str">
        <x:v>Avaliação visual; tratamentos não avaliados; confirmar naturalidade/tratamento em laboratório.</x:v>
      </x:c>
    </x:row>
    <x:row r="40">
      <x:c r="A40" s="12" t="str">
        <x:v>DG-EM-039</x:v>
      </x:c>
      <x:c r="B40" s="12" t="str"/>
      <x:c r="C40" s="12" t="str">
        <x:v>Emerald Collection</x:v>
      </x:c>
      <x:c r="D40" s="12" t="str">
        <x:v>Esmeraldas</x:v>
      </x:c>
      <x:c r="E40" s="12" t="str">
        <x:v>Berilo</x:v>
      </x:c>
      <x:c r="F40" s="12" t="str">
        <x:v>Esmeralda</x:v>
      </x:c>
      <x:c r="G40" s="12" t="str">
        <x:v>Gema individual</x:v>
      </x:c>
      <x:c r="H40" s="18" t="n">
        <x:v>1</x:v>
      </x:c>
      <x:c r="I40" s="12" t="str">
        <x:v>Oval</x:v>
      </x:c>
      <x:c r="J40" s="12" t="str">
        <x:v>10 x 7 x 3</x:v>
      </x:c>
      <x:c r="K40" s="14" t="n">
        <x:v>1.5</x:v>
      </x:c>
      <x:c r="L40" s="12" t="str">
        <x:v>Sim</x:v>
      </x:c>
      <x:c r="M40" s="12" t="str">
        <x:v>Balança / informado</x:v>
      </x:c>
      <x:c r="N40" s="12" t="str">
        <x:v>Verde médio a médio-escuro</x:v>
      </x:c>
      <x:c r="O40" s="12" t="str">
        <x:v>Semi-transparente a translúcida</x:v>
      </x:c>
      <x:c r="P40" s="12" t="str"/>
      <x:c r="Q40" s="12" t="str">
        <x:v>Não avaliado / não informado</x:v>
      </x:c>
      <x:c r="R40" s="12" t="str">
        <x:v>Não</x:v>
      </x:c>
      <x:c r="S40" s="12" t="str"/>
      <x:c r="T40" s="12" t="str"/>
      <x:c r="U40" s="20"/>
      <x:c r="V40" s="20"/>
      <x:c r="W40" s="20"/>
      <x:c r="X40" s="20"/>
      <x:c r="Y40" s="20"/>
      <x:c r="Z40" s="20"/>
      <x:c r="AA40" s="20"/>
      <x:c r="AB40" s="12" t="str">
        <x:v>Pendente de precificação individual</x:v>
      </x:c>
      <x:c r="AC40" s="16" t="n">
        <x:v>8</x:v>
      </x:c>
      <x:c r="AD40" s="12" t="str">
        <x:v>B+</x:v>
      </x:c>
      <x:c r="AE40" s="12" t="str">
        <x:v>A definir</x:v>
      </x:c>
      <x:c r="AF40" s="12" t="str">
        <x:v>Anel de uso diário / brincos / pingente</x:v>
      </x:c>
      <x:c r="AG40" s="12" t="str">
        <x:v>Anel de uso diário / brincos / pingente</x:v>
      </x:c>
      <x:c r="AH40" s="12" t="str">
        <x:v>Coleção</x:v>
      </x:c>
      <x:c r="AI40" s="12" t="str"/>
      <x:c r="AJ40" s="12" t="str"/>
      <x:c r="AK40" s="12" t="str"/>
      <x:c r="AL40" s="12" t="str"/>
      <x:c r="AM40" s="12" t="str">
        <x:v>Não informado</x:v>
      </x:c>
      <x:c r="AN40" s="12" t="str"/>
      <x:c r="AO40" s="12" t="str">
        <x:v>2026-07-01</x:v>
      </x:c>
      <x:c r="AP40" s="12" t="str">
        <x:v>2026-07-19</x:v>
      </x:c>
      <x:c r="AQ40" s="12" t="str">
        <x:v>Alta</x:v>
      </x:c>
      <x:c r="AR40" s="12" t="str">
        <x:v>Inventário mestre completo atualizado em 2026-07-01</x:v>
      </x:c>
      <x:c r="AS40" s="12" t="str">
        <x:v>Precificação individual pendente</x:v>
      </x:c>
      <x:c r="AT40" s="12" t="str">
        <x:v>Avaliação visual; tratamentos não avaliados; confirmar naturalidade/tratamento em laboratório.</x:v>
      </x:c>
    </x:row>
    <x:row r="41">
      <x:c r="A41" s="12" t="str">
        <x:v>DG-EM-040</x:v>
      </x:c>
      <x:c r="B41" s="12" t="str"/>
      <x:c r="C41" s="12" t="str">
        <x:v>Emerald Collection</x:v>
      </x:c>
      <x:c r="D41" s="12" t="str">
        <x:v>Esmeraldas</x:v>
      </x:c>
      <x:c r="E41" s="12" t="str">
        <x:v>Berilo</x:v>
      </x:c>
      <x:c r="F41" s="12" t="str">
        <x:v>Esmeralda</x:v>
      </x:c>
      <x:c r="G41" s="12" t="str">
        <x:v>Gema individual</x:v>
      </x:c>
      <x:c r="H41" s="18" t="n">
        <x:v>1</x:v>
      </x:c>
      <x:c r="I41" s="12" t="str">
        <x:v>Oval</x:v>
      </x:c>
      <x:c r="J41" s="12" t="str">
        <x:v>8 x 7 x 4</x:v>
      </x:c>
      <x:c r="K41" s="14" t="n">
        <x:v>1.3</x:v>
      </x:c>
      <x:c r="L41" s="12" t="str">
        <x:v>Sim</x:v>
      </x:c>
      <x:c r="M41" s="12" t="str">
        <x:v>Balança / informado</x:v>
      </x:c>
      <x:c r="N41" s="12" t="str">
        <x:v>Verde médio</x:v>
      </x:c>
      <x:c r="O41" s="12" t="str">
        <x:v>Semi-transparente a translúcida</x:v>
      </x:c>
      <x:c r="P41" s="12" t="str"/>
      <x:c r="Q41" s="12" t="str">
        <x:v>Não avaliado / não informado</x:v>
      </x:c>
      <x:c r="R41" s="12" t="str">
        <x:v>Não</x:v>
      </x:c>
      <x:c r="S41" s="12" t="str"/>
      <x:c r="T41" s="12" t="str"/>
      <x:c r="U41" s="20"/>
      <x:c r="V41" s="20"/>
      <x:c r="W41" s="20"/>
      <x:c r="X41" s="20"/>
      <x:c r="Y41" s="20"/>
      <x:c r="Z41" s="20"/>
      <x:c r="AA41" s="20"/>
      <x:c r="AB41" s="12" t="str">
        <x:v>Pendente de precificação individual</x:v>
      </x:c>
      <x:c r="AC41" s="16" t="n">
        <x:v>8.3</x:v>
      </x:c>
      <x:c r="AD41" s="12" t="str">
        <x:v>A-</x:v>
      </x:c>
      <x:c r="AE41" s="12" t="str">
        <x:v>A definir</x:v>
      </x:c>
      <x:c r="AF41" s="12" t="str">
        <x:v>Anel solitário delicado / pingente</x:v>
      </x:c>
      <x:c r="AG41" s="12" t="str">
        <x:v>Anel solitário delicado / pingente</x:v>
      </x:c>
      <x:c r="AH41" s="12" t="str">
        <x:v>Coleção</x:v>
      </x:c>
      <x:c r="AI41" s="12" t="str"/>
      <x:c r="AJ41" s="12" t="str"/>
      <x:c r="AK41" s="12" t="str"/>
      <x:c r="AL41" s="12" t="str"/>
      <x:c r="AM41" s="12" t="str">
        <x:v>Não informado</x:v>
      </x:c>
      <x:c r="AN41" s="12" t="str"/>
      <x:c r="AO41" s="12" t="str">
        <x:v>2026-07-01</x:v>
      </x:c>
      <x:c r="AP41" s="12" t="str">
        <x:v>2026-07-19</x:v>
      </x:c>
      <x:c r="AQ41" s="12" t="str">
        <x:v>Alta</x:v>
      </x:c>
      <x:c r="AR41" s="12" t="str">
        <x:v>Inventário mestre completo atualizado em 2026-07-01</x:v>
      </x:c>
      <x:c r="AS41" s="12" t="str">
        <x:v>Precificação individual pendente</x:v>
      </x:c>
      <x:c r="AT41" s="12" t="str">
        <x:v>Avaliação visual; tratamentos não avaliados; confirmar naturalidade/tratamento em laboratório.</x:v>
      </x:c>
    </x:row>
    <x:row r="42">
      <x:c r="A42" s="12" t="str">
        <x:v>DG-EM-041</x:v>
      </x:c>
      <x:c r="B42" s="12" t="str"/>
      <x:c r="C42" s="12" t="str">
        <x:v>Emerald Collection</x:v>
      </x:c>
      <x:c r="D42" s="12" t="str">
        <x:v>Esmeraldas</x:v>
      </x:c>
      <x:c r="E42" s="12" t="str">
        <x:v>Berilo</x:v>
      </x:c>
      <x:c r="F42" s="12" t="str">
        <x:v>Esmeralda</x:v>
      </x:c>
      <x:c r="G42" s="12" t="str">
        <x:v>Gema individual</x:v>
      </x:c>
      <x:c r="H42" s="18" t="n">
        <x:v>1</x:v>
      </x:c>
      <x:c r="I42" s="12" t="str">
        <x:v>Oval</x:v>
      </x:c>
      <x:c r="J42" s="12" t="str">
        <x:v>12 x 8 x 4</x:v>
      </x:c>
      <x:c r="K42" s="14" t="n">
        <x:v>2.195</x:v>
      </x:c>
      <x:c r="L42" s="12" t="str">
        <x:v>Sim</x:v>
      </x:c>
      <x:c r="M42" s="12" t="str">
        <x:v>Balança / informado</x:v>
      </x:c>
      <x:c r="N42" s="12" t="str">
        <x:v>Verde médio a intenso</x:v>
      </x:c>
      <x:c r="O42" s="12" t="str">
        <x:v>Semi-transparente a translúcida</x:v>
      </x:c>
      <x:c r="P42" s="12" t="str"/>
      <x:c r="Q42" s="12" t="str">
        <x:v>Não avaliado / não informado</x:v>
      </x:c>
      <x:c r="R42" s="12" t="str">
        <x:v>Não</x:v>
      </x:c>
      <x:c r="S42" s="12" t="str"/>
      <x:c r="T42" s="12" t="str"/>
      <x:c r="U42" s="20"/>
      <x:c r="V42" s="20"/>
      <x:c r="W42" s="20"/>
      <x:c r="X42" s="20"/>
      <x:c r="Y42" s="20"/>
      <x:c r="Z42" s="20"/>
      <x:c r="AA42" s="20"/>
      <x:c r="AB42" s="12" t="str">
        <x:v>Pendente de precificação individual</x:v>
      </x:c>
      <x:c r="AC42" s="16" t="n">
        <x:v>8.4</x:v>
      </x:c>
      <x:c r="AD42" s="12" t="str">
        <x:v>A-</x:v>
      </x:c>
      <x:c r="AE42" s="12" t="str">
        <x:v>A definir</x:v>
      </x:c>
      <x:c r="AF42" s="12" t="str">
        <x:v>Anel de destaque / pingente</x:v>
      </x:c>
      <x:c r="AG42" s="12" t="str">
        <x:v>Anel de destaque / pingente</x:v>
      </x:c>
      <x:c r="AH42" s="12" t="str">
        <x:v>Coleção</x:v>
      </x:c>
      <x:c r="AI42" s="12" t="str"/>
      <x:c r="AJ42" s="12" t="str"/>
      <x:c r="AK42" s="12" t="str"/>
      <x:c r="AL42" s="12" t="str"/>
      <x:c r="AM42" s="12" t="str">
        <x:v>Não informado</x:v>
      </x:c>
      <x:c r="AN42" s="12" t="str"/>
      <x:c r="AO42" s="12" t="str">
        <x:v>2026-07-01</x:v>
      </x:c>
      <x:c r="AP42" s="12" t="str">
        <x:v>2026-07-19</x:v>
      </x:c>
      <x:c r="AQ42" s="12" t="str">
        <x:v>Alta</x:v>
      </x:c>
      <x:c r="AR42" s="12" t="str">
        <x:v>Inventário mestre completo atualizado em 2026-07-01</x:v>
      </x:c>
      <x:c r="AS42" s="12" t="str">
        <x:v>Precificação individual pendente</x:v>
      </x:c>
      <x:c r="AT42" s="12" t="str">
        <x:v>Avaliação visual; tratamentos não avaliados; confirmar naturalidade/tratamento em laboratório.</x:v>
      </x:c>
    </x:row>
    <x:row r="43">
      <x:c r="A43" s="12" t="str">
        <x:v>DG-EM-042</x:v>
      </x:c>
      <x:c r="B43" s="12" t="str"/>
      <x:c r="C43" s="12" t="str">
        <x:v>Emerald Collection</x:v>
      </x:c>
      <x:c r="D43" s="12" t="str">
        <x:v>Esmeraldas</x:v>
      </x:c>
      <x:c r="E43" s="12" t="str">
        <x:v>Berilo</x:v>
      </x:c>
      <x:c r="F43" s="12" t="str">
        <x:v>Esmeralda</x:v>
      </x:c>
      <x:c r="G43" s="12" t="str">
        <x:v>Gema individual</x:v>
      </x:c>
      <x:c r="H43" s="18" t="n">
        <x:v>1</x:v>
      </x:c>
      <x:c r="I43" s="12" t="str">
        <x:v>Oval</x:v>
      </x:c>
      <x:c r="J43" s="12" t="str">
        <x:v>9 x 7 x 3</x:v>
      </x:c>
      <x:c r="K43" s="14" t="n">
        <x:v>1.39</x:v>
      </x:c>
      <x:c r="L43" s="12" t="str">
        <x:v>Sim</x:v>
      </x:c>
      <x:c r="M43" s="12" t="str">
        <x:v>Balança / informado</x:v>
      </x:c>
      <x:c r="N43" s="12" t="str">
        <x:v>Verde médio</x:v>
      </x:c>
      <x:c r="O43" s="12" t="str">
        <x:v>Semi-transparente a translúcida</x:v>
      </x:c>
      <x:c r="P43" s="12" t="str"/>
      <x:c r="Q43" s="12" t="str">
        <x:v>Não avaliado / não informado</x:v>
      </x:c>
      <x:c r="R43" s="12" t="str">
        <x:v>Não</x:v>
      </x:c>
      <x:c r="S43" s="12" t="str"/>
      <x:c r="T43" s="12" t="str"/>
      <x:c r="U43" s="20"/>
      <x:c r="V43" s="20"/>
      <x:c r="W43" s="20"/>
      <x:c r="X43" s="20"/>
      <x:c r="Y43" s="20"/>
      <x:c r="Z43" s="20"/>
      <x:c r="AA43" s="20"/>
      <x:c r="AB43" s="12" t="str">
        <x:v>Pendente de precificação individual</x:v>
      </x:c>
      <x:c r="AC43" s="16" t="n">
        <x:v>8.1</x:v>
      </x:c>
      <x:c r="AD43" s="12" t="str">
        <x:v>B+</x:v>
      </x:c>
      <x:c r="AE43" s="12" t="str">
        <x:v>A definir</x:v>
      </x:c>
      <x:c r="AF43" s="12" t="str">
        <x:v>Anel delicado / brincos / pingente</x:v>
      </x:c>
      <x:c r="AG43" s="12" t="str">
        <x:v>Anel delicado / brincos / pingente</x:v>
      </x:c>
      <x:c r="AH43" s="12" t="str">
        <x:v>Coleção</x:v>
      </x:c>
      <x:c r="AI43" s="12" t="str"/>
      <x:c r="AJ43" s="12" t="str"/>
      <x:c r="AK43" s="12" t="str"/>
      <x:c r="AL43" s="12" t="str"/>
      <x:c r="AM43" s="12" t="str">
        <x:v>Não informado</x:v>
      </x:c>
      <x:c r="AN43" s="12" t="str"/>
      <x:c r="AO43" s="12" t="str">
        <x:v>2026-07-01</x:v>
      </x:c>
      <x:c r="AP43" s="12" t="str">
        <x:v>2026-07-19</x:v>
      </x:c>
      <x:c r="AQ43" s="12" t="str">
        <x:v>Alta</x:v>
      </x:c>
      <x:c r="AR43" s="12" t="str">
        <x:v>Inventário mestre completo atualizado em 2026-07-01</x:v>
      </x:c>
      <x:c r="AS43" s="12" t="str">
        <x:v>Precificação individual pendente</x:v>
      </x:c>
      <x:c r="AT43" s="12" t="str">
        <x:v>Avaliação visual; tratamentos não avaliados; confirmar naturalidade/tratamento em laboratório.</x:v>
      </x:c>
    </x:row>
    <x:row r="44">
      <x:c r="A44" s="12" t="str">
        <x:v>DG-EM-043</x:v>
      </x:c>
      <x:c r="B44" s="12" t="str"/>
      <x:c r="C44" s="12" t="str">
        <x:v>Emerald Collection</x:v>
      </x:c>
      <x:c r="D44" s="12" t="str">
        <x:v>Esmeraldas</x:v>
      </x:c>
      <x:c r="E44" s="12" t="str">
        <x:v>Berilo</x:v>
      </x:c>
      <x:c r="F44" s="12" t="str">
        <x:v>Esmeralda</x:v>
      </x:c>
      <x:c r="G44" s="12" t="str">
        <x:v>Gema individual</x:v>
      </x:c>
      <x:c r="H44" s="18" t="n">
        <x:v>1</x:v>
      </x:c>
      <x:c r="I44" s="12" t="str">
        <x:v>Oval</x:v>
      </x:c>
      <x:c r="J44" s="12" t="str">
        <x:v>9 x 6 x 3</x:v>
      </x:c>
      <x:c r="K44" s="14" t="n">
        <x:v>1.365</x:v>
      </x:c>
      <x:c r="L44" s="12" t="str">
        <x:v>Sim</x:v>
      </x:c>
      <x:c r="M44" s="12" t="str">
        <x:v>Balança / informado</x:v>
      </x:c>
      <x:c r="N44" s="12" t="str">
        <x:v>Verde médio azulado</x:v>
      </x:c>
      <x:c r="O44" s="12" t="str">
        <x:v>Semi-transparente a translúcida</x:v>
      </x:c>
      <x:c r="P44" s="12" t="str"/>
      <x:c r="Q44" s="12" t="str">
        <x:v>Não avaliado / não informado</x:v>
      </x:c>
      <x:c r="R44" s="12" t="str">
        <x:v>Não</x:v>
      </x:c>
      <x:c r="S44" s="12" t="str"/>
      <x:c r="T44" s="12" t="str"/>
      <x:c r="U44" s="20"/>
      <x:c r="V44" s="20"/>
      <x:c r="W44" s="20"/>
      <x:c r="X44" s="20"/>
      <x:c r="Y44" s="20"/>
      <x:c r="Z44" s="20"/>
      <x:c r="AA44" s="20"/>
      <x:c r="AB44" s="12" t="str">
        <x:v>Pendente de precificação individual</x:v>
      </x:c>
      <x:c r="AC44" s="16" t="n">
        <x:v>8.2</x:v>
      </x:c>
      <x:c r="AD44" s="12" t="str">
        <x:v>B+</x:v>
      </x:c>
      <x:c r="AE44" s="12" t="str">
        <x:v>A definir</x:v>
      </x:c>
      <x:c r="AF44" s="12" t="str">
        <x:v>Anel delicado / brincos / pingente</x:v>
      </x:c>
      <x:c r="AG44" s="12" t="str">
        <x:v>Anel delicado / brincos / pingente</x:v>
      </x:c>
      <x:c r="AH44" s="12" t="str">
        <x:v>Coleção</x:v>
      </x:c>
      <x:c r="AI44" s="12" t="str"/>
      <x:c r="AJ44" s="12" t="str"/>
      <x:c r="AK44" s="12" t="str"/>
      <x:c r="AL44" s="12" t="str"/>
      <x:c r="AM44" s="12" t="str">
        <x:v>Não informado</x:v>
      </x:c>
      <x:c r="AN44" s="12" t="str"/>
      <x:c r="AO44" s="12" t="str">
        <x:v>2026-07-01</x:v>
      </x:c>
      <x:c r="AP44" s="12" t="str">
        <x:v>2026-07-19</x:v>
      </x:c>
      <x:c r="AQ44" s="12" t="str">
        <x:v>Alta</x:v>
      </x:c>
      <x:c r="AR44" s="12" t="str">
        <x:v>Inventário mestre completo atualizado em 2026-07-01</x:v>
      </x:c>
      <x:c r="AS44" s="12" t="str">
        <x:v>Precificação individual pendente</x:v>
      </x:c>
      <x:c r="AT44" s="12" t="str">
        <x:v>Avaliação visual; tratamentos não avaliados; confirmar naturalidade/tratamento em laboratório.</x:v>
      </x:c>
    </x:row>
    <x:row r="45">
      <x:c r="A45" s="12" t="str">
        <x:v>DG-EM-044</x:v>
      </x:c>
      <x:c r="B45" s="12" t="str"/>
      <x:c r="C45" s="12" t="str">
        <x:v>Emerald Collection</x:v>
      </x:c>
      <x:c r="D45" s="12" t="str">
        <x:v>Esmeraldas</x:v>
      </x:c>
      <x:c r="E45" s="12" t="str">
        <x:v>Berilo</x:v>
      </x:c>
      <x:c r="F45" s="12" t="str">
        <x:v>Esmeralda</x:v>
      </x:c>
      <x:c r="G45" s="12" t="str">
        <x:v>Gema individual</x:v>
      </x:c>
      <x:c r="H45" s="18" t="n">
        <x:v>1</x:v>
      </x:c>
      <x:c r="I45" s="12" t="str">
        <x:v>Gota / Pêra</x:v>
      </x:c>
      <x:c r="J45" s="12" t="str">
        <x:v>10 x 7 x 5</x:v>
      </x:c>
      <x:c r="K45" s="14" t="n">
        <x:v>2</x:v>
      </x:c>
      <x:c r="L45" s="12" t="str">
        <x:v>Sim</x:v>
      </x:c>
      <x:c r="M45" s="12" t="str">
        <x:v>Balança / informado</x:v>
      </x:c>
      <x:c r="N45" s="12" t="str">
        <x:v>Verde médio</x:v>
      </x:c>
      <x:c r="O45" s="12" t="str">
        <x:v>Semi-transparente a translúcida</x:v>
      </x:c>
      <x:c r="P45" s="12" t="str"/>
      <x:c r="Q45" s="12" t="str">
        <x:v>Não avaliado / não informado</x:v>
      </x:c>
      <x:c r="R45" s="12" t="str">
        <x:v>Não</x:v>
      </x:c>
      <x:c r="S45" s="12" t="str"/>
      <x:c r="T45" s="12" t="str"/>
      <x:c r="U45" s="20"/>
      <x:c r="V45" s="20"/>
      <x:c r="W45" s="20"/>
      <x:c r="X45" s="20"/>
      <x:c r="Y45" s="20"/>
      <x:c r="Z45" s="20"/>
      <x:c r="AA45" s="20"/>
      <x:c r="AB45" s="12" t="str">
        <x:v>Pendente de precificação individual</x:v>
      </x:c>
      <x:c r="AC45" s="16" t="n">
        <x:v>8.5</x:v>
      </x:c>
      <x:c r="AD45" s="12" t="str">
        <x:v>A-</x:v>
      </x:c>
      <x:c r="AE45" s="12" t="str">
        <x:v>A definir</x:v>
      </x:c>
      <x:c r="AF45" s="12" t="str">
        <x:v>Pingente / anel feminino</x:v>
      </x:c>
      <x:c r="AG45" s="12" t="str">
        <x:v>Pingente / anel feminino</x:v>
      </x:c>
      <x:c r="AH45" s="12" t="str">
        <x:v>Coleção</x:v>
      </x:c>
      <x:c r="AI45" s="12" t="str"/>
      <x:c r="AJ45" s="12" t="str"/>
      <x:c r="AK45" s="12" t="str"/>
      <x:c r="AL45" s="12" t="str"/>
      <x:c r="AM45" s="12" t="str">
        <x:v>Não informado</x:v>
      </x:c>
      <x:c r="AN45" s="12" t="str"/>
      <x:c r="AO45" s="12" t="str">
        <x:v>2026-07-01</x:v>
      </x:c>
      <x:c r="AP45" s="12" t="str">
        <x:v>2026-07-19</x:v>
      </x:c>
      <x:c r="AQ45" s="12" t="str">
        <x:v>Alta</x:v>
      </x:c>
      <x:c r="AR45" s="12" t="str">
        <x:v>Inventário mestre completo atualizado em 2026-07-01</x:v>
      </x:c>
      <x:c r="AS45" s="12" t="str">
        <x:v>Precificação individual pendente</x:v>
      </x:c>
      <x:c r="AT45" s="12" t="str">
        <x:v>Avaliação visual; tratamentos não avaliados; confirmar naturalidade/tratamento em laboratório.</x:v>
      </x:c>
    </x:row>
    <x:row r="46">
      <x:c r="A46" s="12" t="str">
        <x:v>DG-EM-045</x:v>
      </x:c>
      <x:c r="B46" s="12" t="str"/>
      <x:c r="C46" s="12" t="str">
        <x:v>Emerald Collection</x:v>
      </x:c>
      <x:c r="D46" s="12" t="str">
        <x:v>Esmeraldas</x:v>
      </x:c>
      <x:c r="E46" s="12" t="str">
        <x:v>Berilo</x:v>
      </x:c>
      <x:c r="F46" s="12" t="str">
        <x:v>Esmeralda</x:v>
      </x:c>
      <x:c r="G46" s="12" t="str">
        <x:v>Gema individual</x:v>
      </x:c>
      <x:c r="H46" s="18" t="n">
        <x:v>1</x:v>
      </x:c>
      <x:c r="I46" s="12" t="str">
        <x:v>Gota / Pêra</x:v>
      </x:c>
      <x:c r="J46" s="12" t="str">
        <x:v>12 x 8 x 3</x:v>
      </x:c>
      <x:c r="K46" s="14" t="n">
        <x:v>1.445</x:v>
      </x:c>
      <x:c r="L46" s="12" t="str">
        <x:v>Sim</x:v>
      </x:c>
      <x:c r="M46" s="12" t="str">
        <x:v>Balança / informado</x:v>
      </x:c>
      <x:c r="N46" s="12" t="str">
        <x:v>Verde médio a intenso</x:v>
      </x:c>
      <x:c r="O46" s="12" t="str">
        <x:v>Semi-transparente a translúcida</x:v>
      </x:c>
      <x:c r="P46" s="12" t="str"/>
      <x:c r="Q46" s="12" t="str">
        <x:v>Não avaliado / não informado</x:v>
      </x:c>
      <x:c r="R46" s="12" t="str">
        <x:v>Não</x:v>
      </x:c>
      <x:c r="S46" s="12" t="str"/>
      <x:c r="T46" s="12" t="str"/>
      <x:c r="U46" s="20"/>
      <x:c r="V46" s="20"/>
      <x:c r="W46" s="20"/>
      <x:c r="X46" s="20"/>
      <x:c r="Y46" s="20"/>
      <x:c r="Z46" s="20"/>
      <x:c r="AA46" s="20"/>
      <x:c r="AB46" s="12" t="str">
        <x:v>Pendente de precificação individual</x:v>
      </x:c>
      <x:c r="AC46" s="16" t="n">
        <x:v>8.2</x:v>
      </x:c>
      <x:c r="AD46" s="12" t="str">
        <x:v>B+</x:v>
      </x:c>
      <x:c r="AE46" s="12" t="str">
        <x:v>A definir</x:v>
      </x:c>
      <x:c r="AF46" s="12" t="str">
        <x:v>Pingente / brincos / anel delicado</x:v>
      </x:c>
      <x:c r="AG46" s="12" t="str">
        <x:v>Pingente / brincos / anel delicado</x:v>
      </x:c>
      <x:c r="AH46" s="12" t="str">
        <x:v>Coleção</x:v>
      </x:c>
      <x:c r="AI46" s="12" t="str"/>
      <x:c r="AJ46" s="12" t="str"/>
      <x:c r="AK46" s="12" t="str"/>
      <x:c r="AL46" s="12" t="str"/>
      <x:c r="AM46" s="12" t="str">
        <x:v>Não informado</x:v>
      </x:c>
      <x:c r="AN46" s="12" t="str"/>
      <x:c r="AO46" s="12" t="str">
        <x:v>2026-07-01</x:v>
      </x:c>
      <x:c r="AP46" s="12" t="str">
        <x:v>2026-07-19</x:v>
      </x:c>
      <x:c r="AQ46" s="12" t="str">
        <x:v>Alta</x:v>
      </x:c>
      <x:c r="AR46" s="12" t="str">
        <x:v>Inventário mestre completo atualizado em 2026-07-01</x:v>
      </x:c>
      <x:c r="AS46" s="12" t="str">
        <x:v>Precificação individual pendente</x:v>
      </x:c>
      <x:c r="AT46" s="12" t="str">
        <x:v>Avaliação visual; tratamentos não avaliados; confirmar naturalidade/tratamento em laboratório.</x:v>
      </x:c>
    </x:row>
    <x:row r="47">
      <x:c r="A47" s="12" t="str">
        <x:v>DG-EM-046</x:v>
      </x:c>
      <x:c r="B47" s="12" t="str"/>
      <x:c r="C47" s="12" t="str">
        <x:v>Emerald Collection</x:v>
      </x:c>
      <x:c r="D47" s="12" t="str">
        <x:v>Esmeraldas</x:v>
      </x:c>
      <x:c r="E47" s="12" t="str">
        <x:v>Berilo</x:v>
      </x:c>
      <x:c r="F47" s="12" t="str">
        <x:v>Esmeralda</x:v>
      </x:c>
      <x:c r="G47" s="12" t="str">
        <x:v>Gema individual</x:v>
      </x:c>
      <x:c r="H47" s="18" t="n">
        <x:v>1</x:v>
      </x:c>
      <x:c r="I47" s="12" t="str">
        <x:v>Gota</x:v>
      </x:c>
      <x:c r="J47" s="12" t="str">
        <x:v>11 x 7 x 2,5</x:v>
      </x:c>
      <x:c r="K47" s="14" t="n">
        <x:v>1.05</x:v>
      </x:c>
      <x:c r="L47" s="12" t="str">
        <x:v>Sim</x:v>
      </x:c>
      <x:c r="M47" s="12" t="str">
        <x:v>Balança / informado</x:v>
      </x:c>
      <x:c r="N47" s="12" t="str">
        <x:v>Verde médio</x:v>
      </x:c>
      <x:c r="O47" s="12" t="str">
        <x:v>Semi-transparente a translúcida</x:v>
      </x:c>
      <x:c r="P47" s="12" t="str"/>
      <x:c r="Q47" s="12" t="str">
        <x:v>Não avaliado / não informado</x:v>
      </x:c>
      <x:c r="R47" s="12" t="str">
        <x:v>Não</x:v>
      </x:c>
      <x:c r="S47" s="12" t="str"/>
      <x:c r="T47" s="12" t="str"/>
      <x:c r="U47" s="20"/>
      <x:c r="V47" s="20"/>
      <x:c r="W47" s="20"/>
      <x:c r="X47" s="20"/>
      <x:c r="Y47" s="20"/>
      <x:c r="Z47" s="20"/>
      <x:c r="AA47" s="20"/>
      <x:c r="AB47" s="12" t="str">
        <x:v>Pendente de precificação individual</x:v>
      </x:c>
      <x:c r="AC47" s="16" t="n">
        <x:v>8</x:v>
      </x:c>
      <x:c r="AD47" s="12" t="str">
        <x:v>B+</x:v>
      </x:c>
      <x:c r="AE47" s="12" t="str">
        <x:v>A definir</x:v>
      </x:c>
      <x:c r="AF47" s="12" t="str">
        <x:v>Pingente / anel delicado</x:v>
      </x:c>
      <x:c r="AG47" s="12" t="str">
        <x:v>Pingente / anel delicado</x:v>
      </x:c>
      <x:c r="AH47" s="12" t="str">
        <x:v>Coleção</x:v>
      </x:c>
      <x:c r="AI47" s="12" t="str"/>
      <x:c r="AJ47" s="12" t="str"/>
      <x:c r="AK47" s="12" t="str"/>
      <x:c r="AL47" s="12" t="str"/>
      <x:c r="AM47" s="12" t="str">
        <x:v>Não informado</x:v>
      </x:c>
      <x:c r="AN47" s="12" t="str"/>
      <x:c r="AO47" s="12" t="str">
        <x:v>2026-07-01</x:v>
      </x:c>
      <x:c r="AP47" s="12" t="str">
        <x:v>2026-07-19</x:v>
      </x:c>
      <x:c r="AQ47" s="12" t="str">
        <x:v>Alta</x:v>
      </x:c>
      <x:c r="AR47" s="12" t="str">
        <x:v>Inventário mestre completo atualizado em 2026-07-01</x:v>
      </x:c>
      <x:c r="AS47" s="12" t="str">
        <x:v>Precificação individual pendente</x:v>
      </x:c>
      <x:c r="AT47" s="12" t="str">
        <x:v>Avaliação visual; tratamentos não avaliados; confirmar naturalidade/tratamento em laboratório.</x:v>
      </x:c>
    </x:row>
    <x:row r="48">
      <x:c r="A48" s="12" t="str">
        <x:v>DG-EM-047</x:v>
      </x:c>
      <x:c r="B48" s="12" t="str"/>
      <x:c r="C48" s="12" t="str">
        <x:v>Emerald Collection</x:v>
      </x:c>
      <x:c r="D48" s="12" t="str">
        <x:v>Esmeraldas</x:v>
      </x:c>
      <x:c r="E48" s="12" t="str">
        <x:v>Berilo</x:v>
      </x:c>
      <x:c r="F48" s="12" t="str">
        <x:v>Esmeralda</x:v>
      </x:c>
      <x:c r="G48" s="12" t="str">
        <x:v>Gema individual</x:v>
      </x:c>
      <x:c r="H48" s="18" t="n">
        <x:v>1</x:v>
      </x:c>
      <x:c r="I48" s="12" t="str">
        <x:v>Gota</x:v>
      </x:c>
      <x:c r="J48" s="12" t="str">
        <x:v>9 x 7 x 3</x:v>
      </x:c>
      <x:c r="K48" s="14" t="n">
        <x:v>1.145</x:v>
      </x:c>
      <x:c r="L48" s="12" t="str">
        <x:v>Sim</x:v>
      </x:c>
      <x:c r="M48" s="12" t="str">
        <x:v>Balança / informado</x:v>
      </x:c>
      <x:c r="N48" s="12" t="str">
        <x:v>Verde médio</x:v>
      </x:c>
      <x:c r="O48" s="12" t="str">
        <x:v>Semi-transparente a translúcida</x:v>
      </x:c>
      <x:c r="P48" s="12" t="str"/>
      <x:c r="Q48" s="12" t="str">
        <x:v>Não avaliado / não informado</x:v>
      </x:c>
      <x:c r="R48" s="12" t="str">
        <x:v>Não</x:v>
      </x:c>
      <x:c r="S48" s="12" t="str"/>
      <x:c r="T48" s="12" t="str"/>
      <x:c r="U48" s="20"/>
      <x:c r="V48" s="20"/>
      <x:c r="W48" s="20"/>
      <x:c r="X48" s="20"/>
      <x:c r="Y48" s="20"/>
      <x:c r="Z48" s="20"/>
      <x:c r="AA48" s="20"/>
      <x:c r="AB48" s="12" t="str">
        <x:v>Pendente de precificação individual</x:v>
      </x:c>
      <x:c r="AC48" s="16" t="n">
        <x:v>8</x:v>
      </x:c>
      <x:c r="AD48" s="12" t="str">
        <x:v>B+</x:v>
      </x:c>
      <x:c r="AE48" s="12" t="str">
        <x:v>A definir</x:v>
      </x:c>
      <x:c r="AF48" s="12" t="str">
        <x:v>Pingente / anel delicado</x:v>
      </x:c>
      <x:c r="AG48" s="12" t="str">
        <x:v>Pingente / anel delicado</x:v>
      </x:c>
      <x:c r="AH48" s="12" t="str">
        <x:v>Coleção</x:v>
      </x:c>
      <x:c r="AI48" s="12" t="str"/>
      <x:c r="AJ48" s="12" t="str"/>
      <x:c r="AK48" s="12" t="str"/>
      <x:c r="AL48" s="12" t="str"/>
      <x:c r="AM48" s="12" t="str">
        <x:v>Não informado</x:v>
      </x:c>
      <x:c r="AN48" s="12" t="str"/>
      <x:c r="AO48" s="12" t="str">
        <x:v>2026-07-01</x:v>
      </x:c>
      <x:c r="AP48" s="12" t="str">
        <x:v>2026-07-19</x:v>
      </x:c>
      <x:c r="AQ48" s="12" t="str">
        <x:v>Alta</x:v>
      </x:c>
      <x:c r="AR48" s="12" t="str">
        <x:v>Inventário mestre completo atualizado em 2026-07-01</x:v>
      </x:c>
      <x:c r="AS48" s="12" t="str">
        <x:v>Precificação individual pendente</x:v>
      </x:c>
      <x:c r="AT48" s="12" t="str">
        <x:v>Avaliação visual; tratamentos não avaliados; confirmar naturalidade/tratamento em laboratório.</x:v>
      </x:c>
    </x:row>
    <x:row r="49">
      <x:c r="A49" s="12" t="str">
        <x:v>DG-EM-048</x:v>
      </x:c>
      <x:c r="B49" s="12" t="str"/>
      <x:c r="C49" s="12" t="str">
        <x:v>Emerald Collection</x:v>
      </x:c>
      <x:c r="D49" s="12" t="str">
        <x:v>Esmeraldas</x:v>
      </x:c>
      <x:c r="E49" s="12" t="str">
        <x:v>Berilo</x:v>
      </x:c>
      <x:c r="F49" s="12" t="str">
        <x:v>Esmeralda</x:v>
      </x:c>
      <x:c r="G49" s="12" t="str">
        <x:v>Gema individual</x:v>
      </x:c>
      <x:c r="H49" s="18" t="n">
        <x:v>1</x:v>
      </x:c>
      <x:c r="I49" s="12" t="str">
        <x:v>Gota</x:v>
      </x:c>
      <x:c r="J49" s="12" t="str">
        <x:v>9 x 6 x 3</x:v>
      </x:c>
      <x:c r="K49" s="14" t="n">
        <x:v>0.975</x:v>
      </x:c>
      <x:c r="L49" s="12" t="str">
        <x:v>Sim</x:v>
      </x:c>
      <x:c r="M49" s="12" t="str">
        <x:v>Balança / informado</x:v>
      </x:c>
      <x:c r="N49" s="12" t="str">
        <x:v>Verde médio</x:v>
      </x:c>
      <x:c r="O49" s="12" t="str">
        <x:v>Semi-transparente a translúcida</x:v>
      </x:c>
      <x:c r="P49" s="12" t="str"/>
      <x:c r="Q49" s="12" t="str">
        <x:v>Não avaliado / não informado</x:v>
      </x:c>
      <x:c r="R49" s="12" t="str">
        <x:v>Não</x:v>
      </x:c>
      <x:c r="S49" s="12" t="str"/>
      <x:c r="T49" s="12" t="str"/>
      <x:c r="U49" s="20"/>
      <x:c r="V49" s="20"/>
      <x:c r="W49" s="20"/>
      <x:c r="X49" s="20"/>
      <x:c r="Y49" s="20"/>
      <x:c r="Z49" s="20"/>
      <x:c r="AA49" s="20"/>
      <x:c r="AB49" s="12" t="str">
        <x:v>Pendente de precificação individual</x:v>
      </x:c>
      <x:c r="AC49" s="16" t="n">
        <x:v>8</x:v>
      </x:c>
      <x:c r="AD49" s="12" t="str">
        <x:v>B+</x:v>
      </x:c>
      <x:c r="AE49" s="12" t="str">
        <x:v>A definir</x:v>
      </x:c>
      <x:c r="AF49" s="12" t="str">
        <x:v>Pingente / brinco / anel delicado</x:v>
      </x:c>
      <x:c r="AG49" s="12" t="str">
        <x:v>Pingente / brinco / anel delicado</x:v>
      </x:c>
      <x:c r="AH49" s="12" t="str">
        <x:v>Coleção</x:v>
      </x:c>
      <x:c r="AI49" s="12" t="str"/>
      <x:c r="AJ49" s="12" t="str"/>
      <x:c r="AK49" s="12" t="str"/>
      <x:c r="AL49" s="12" t="str"/>
      <x:c r="AM49" s="12" t="str">
        <x:v>Não informado</x:v>
      </x:c>
      <x:c r="AN49" s="12" t="str"/>
      <x:c r="AO49" s="12" t="str">
        <x:v>2026-07-01</x:v>
      </x:c>
      <x:c r="AP49" s="12" t="str">
        <x:v>2026-07-19</x:v>
      </x:c>
      <x:c r="AQ49" s="12" t="str">
        <x:v>Alta</x:v>
      </x:c>
      <x:c r="AR49" s="12" t="str">
        <x:v>Inventário mestre completo atualizado em 2026-07-01</x:v>
      </x:c>
      <x:c r="AS49" s="12" t="str">
        <x:v>Precificação individual pendente</x:v>
      </x:c>
      <x:c r="AT49" s="12" t="str">
        <x:v>Avaliação visual; tratamentos não avaliados; confirmar naturalidade/tratamento em laboratório.</x:v>
      </x:c>
    </x:row>
    <x:row r="50">
      <x:c r="A50" s="12" t="str">
        <x:v>DG-EM-049</x:v>
      </x:c>
      <x:c r="B50" s="12" t="str"/>
      <x:c r="C50" s="12" t="str">
        <x:v>Emerald Collection</x:v>
      </x:c>
      <x:c r="D50" s="12" t="str">
        <x:v>Esmeraldas</x:v>
      </x:c>
      <x:c r="E50" s="12" t="str">
        <x:v>Berilo</x:v>
      </x:c>
      <x:c r="F50" s="12" t="str">
        <x:v>Esmeralda</x:v>
      </x:c>
      <x:c r="G50" s="12" t="str">
        <x:v>Gema individual</x:v>
      </x:c>
      <x:c r="H50" s="18" t="n">
        <x:v>1</x:v>
      </x:c>
      <x:c r="I50" s="12" t="str">
        <x:v>Gota</x:v>
      </x:c>
      <x:c r="J50" s="12" t="str">
        <x:v>9 x 6 x 3</x:v>
      </x:c>
      <x:c r="K50" s="14" t="n">
        <x:v>0.695</x:v>
      </x:c>
      <x:c r="L50" s="12" t="str">
        <x:v>Sim</x:v>
      </x:c>
      <x:c r="M50" s="12" t="str">
        <x:v>Balança / informado</x:v>
      </x:c>
      <x:c r="N50" s="12" t="str">
        <x:v>Verde intenso</x:v>
      </x:c>
      <x:c r="O50" s="12" t="str">
        <x:v>Semi-transparente a translúcida</x:v>
      </x:c>
      <x:c r="P50" s="12" t="str"/>
      <x:c r="Q50" s="12" t="str">
        <x:v>Não avaliado / não informado</x:v>
      </x:c>
      <x:c r="R50" s="12" t="str">
        <x:v>Não</x:v>
      </x:c>
      <x:c r="S50" s="12" t="str"/>
      <x:c r="T50" s="12" t="str"/>
      <x:c r="U50" s="20"/>
      <x:c r="V50" s="20"/>
      <x:c r="W50" s="20"/>
      <x:c r="X50" s="20"/>
      <x:c r="Y50" s="20"/>
      <x:c r="Z50" s="20"/>
      <x:c r="AA50" s="20"/>
      <x:c r="AB50" s="12" t="str">
        <x:v>Pendente de precificação individual</x:v>
      </x:c>
      <x:c r="AC50" s="16" t="n">
        <x:v>8</x:v>
      </x:c>
      <x:c r="AD50" s="12" t="str">
        <x:v>B+</x:v>
      </x:c>
      <x:c r="AE50" s="12" t="str">
        <x:v>A definir</x:v>
      </x:c>
      <x:c r="AF50" s="12" t="str">
        <x:v>Pingente pequeno / brinco</x:v>
      </x:c>
      <x:c r="AG50" s="12" t="str">
        <x:v>Pingente pequeno / brinco</x:v>
      </x:c>
      <x:c r="AH50" s="12" t="str">
        <x:v>Coleção</x:v>
      </x:c>
      <x:c r="AI50" s="12" t="str"/>
      <x:c r="AJ50" s="12" t="str"/>
      <x:c r="AK50" s="12" t="str"/>
      <x:c r="AL50" s="12" t="str"/>
      <x:c r="AM50" s="12" t="str">
        <x:v>Não informado</x:v>
      </x:c>
      <x:c r="AN50" s="12" t="str"/>
      <x:c r="AO50" s="12" t="str">
        <x:v>2026-07-01</x:v>
      </x:c>
      <x:c r="AP50" s="12" t="str">
        <x:v>2026-07-19</x:v>
      </x:c>
      <x:c r="AQ50" s="12" t="str">
        <x:v>Alta</x:v>
      </x:c>
      <x:c r="AR50" s="12" t="str">
        <x:v>Inventário mestre completo atualizado em 2026-07-01</x:v>
      </x:c>
      <x:c r="AS50" s="12" t="str">
        <x:v>Precificação individual pendente</x:v>
      </x:c>
      <x:c r="AT50" s="12" t="str">
        <x:v>Avaliação visual; tratamentos não avaliados; confirmar naturalidade/tratamento em laboratório.</x:v>
      </x:c>
    </x:row>
    <x:row r="51">
      <x:c r="A51" s="12" t="str">
        <x:v>DG-EM-050</x:v>
      </x:c>
      <x:c r="B51" s="12" t="str"/>
      <x:c r="C51" s="12" t="str">
        <x:v>Emerald Collection</x:v>
      </x:c>
      <x:c r="D51" s="12" t="str">
        <x:v>Esmeraldas</x:v>
      </x:c>
      <x:c r="E51" s="12" t="str">
        <x:v>Berilo</x:v>
      </x:c>
      <x:c r="F51" s="12" t="str">
        <x:v>Esmeralda</x:v>
      </x:c>
      <x:c r="G51" s="12" t="str">
        <x:v>Gema individual</x:v>
      </x:c>
      <x:c r="H51" s="18" t="n">
        <x:v>1</x:v>
      </x:c>
      <x:c r="I51" s="12" t="str">
        <x:v>Gota</x:v>
      </x:c>
      <x:c r="J51" s="12" t="str">
        <x:v>11 x 6 x 4</x:v>
      </x:c>
      <x:c r="K51" s="14" t="n">
        <x:v>1.105</x:v>
      </x:c>
      <x:c r="L51" s="12" t="str">
        <x:v>Sim</x:v>
      </x:c>
      <x:c r="M51" s="12" t="str">
        <x:v>Balança / informado</x:v>
      </x:c>
      <x:c r="N51" s="12" t="str">
        <x:v>Verde claro a médio</x:v>
      </x:c>
      <x:c r="O51" s="12" t="str">
        <x:v>Semi-transparente a translúcida</x:v>
      </x:c>
      <x:c r="P51" s="12" t="str"/>
      <x:c r="Q51" s="12" t="str">
        <x:v>Não avaliado / não informado</x:v>
      </x:c>
      <x:c r="R51" s="12" t="str">
        <x:v>Não</x:v>
      </x:c>
      <x:c r="S51" s="12" t="str"/>
      <x:c r="T51" s="12" t="str"/>
      <x:c r="U51" s="20"/>
      <x:c r="V51" s="20"/>
      <x:c r="W51" s="20"/>
      <x:c r="X51" s="20"/>
      <x:c r="Y51" s="20"/>
      <x:c r="Z51" s="20"/>
      <x:c r="AA51" s="20"/>
      <x:c r="AB51" s="12" t="str">
        <x:v>Pendente de precificação individual</x:v>
      </x:c>
      <x:c r="AC51" s="16" t="n">
        <x:v>8</x:v>
      </x:c>
      <x:c r="AD51" s="12" t="str">
        <x:v>B+</x:v>
      </x:c>
      <x:c r="AE51" s="12" t="str">
        <x:v>A definir</x:v>
      </x:c>
      <x:c r="AF51" s="12" t="str">
        <x:v>Pingente / anel delicado</x:v>
      </x:c>
      <x:c r="AG51" s="12" t="str">
        <x:v>Pingente / anel delicado</x:v>
      </x:c>
      <x:c r="AH51" s="12" t="str">
        <x:v>Coleção</x:v>
      </x:c>
      <x:c r="AI51" s="12" t="str"/>
      <x:c r="AJ51" s="12" t="str"/>
      <x:c r="AK51" s="12" t="str"/>
      <x:c r="AL51" s="12" t="str"/>
      <x:c r="AM51" s="12" t="str">
        <x:v>Não informado</x:v>
      </x:c>
      <x:c r="AN51" s="12" t="str"/>
      <x:c r="AO51" s="12" t="str">
        <x:v>2026-07-01</x:v>
      </x:c>
      <x:c r="AP51" s="12" t="str">
        <x:v>2026-07-19</x:v>
      </x:c>
      <x:c r="AQ51" s="12" t="str">
        <x:v>Alta</x:v>
      </x:c>
      <x:c r="AR51" s="12" t="str">
        <x:v>Inventário mestre completo atualizado em 2026-07-01</x:v>
      </x:c>
      <x:c r="AS51" s="12" t="str">
        <x:v>Precificação individual pendente</x:v>
      </x:c>
      <x:c r="AT51" s="12" t="str">
        <x:v>Avaliação visual; tratamentos não avaliados; confirmar naturalidade/tratamento em laboratório.</x:v>
      </x:c>
    </x:row>
    <x:row r="52">
      <x:c r="A52" s="12" t="str">
        <x:v>DG-EM-051</x:v>
      </x:c>
      <x:c r="B52" s="12" t="str"/>
      <x:c r="C52" s="12" t="str">
        <x:v>Emerald Collection</x:v>
      </x:c>
      <x:c r="D52" s="12" t="str">
        <x:v>Esmeraldas</x:v>
      </x:c>
      <x:c r="E52" s="12" t="str">
        <x:v>Berilo</x:v>
      </x:c>
      <x:c r="F52" s="12" t="str">
        <x:v>Esmeralda</x:v>
      </x:c>
      <x:c r="G52" s="12" t="str">
        <x:v>Gema individual</x:v>
      </x:c>
      <x:c r="H52" s="18" t="n">
        <x:v>1</x:v>
      </x:c>
      <x:c r="I52" s="12" t="str">
        <x:v>Gota</x:v>
      </x:c>
      <x:c r="J52" s="12" t="str">
        <x:v>10 x 5 x 3</x:v>
      </x:c>
      <x:c r="K52" s="14" t="n">
        <x:v>0.905</x:v>
      </x:c>
      <x:c r="L52" s="12" t="str">
        <x:v>Sim</x:v>
      </x:c>
      <x:c r="M52" s="12" t="str">
        <x:v>Balança / informado</x:v>
      </x:c>
      <x:c r="N52" s="12" t="str">
        <x:v>Verde intenso</x:v>
      </x:c>
      <x:c r="O52" s="12" t="str">
        <x:v>Semi-transparente a translúcida</x:v>
      </x:c>
      <x:c r="P52" s="12" t="str"/>
      <x:c r="Q52" s="12" t="str">
        <x:v>Não avaliado / não informado</x:v>
      </x:c>
      <x:c r="R52" s="12" t="str">
        <x:v>Não</x:v>
      </x:c>
      <x:c r="S52" s="12" t="str"/>
      <x:c r="T52" s="12" t="str"/>
      <x:c r="U52" s="20"/>
      <x:c r="V52" s="20"/>
      <x:c r="W52" s="20"/>
      <x:c r="X52" s="20"/>
      <x:c r="Y52" s="20"/>
      <x:c r="Z52" s="20"/>
      <x:c r="AA52" s="20"/>
      <x:c r="AB52" s="12" t="str">
        <x:v>Pendente de precificação individual</x:v>
      </x:c>
      <x:c r="AC52" s="16" t="n">
        <x:v>8</x:v>
      </x:c>
      <x:c r="AD52" s="12" t="str">
        <x:v>B+</x:v>
      </x:c>
      <x:c r="AE52" s="12" t="str">
        <x:v>A definir</x:v>
      </x:c>
      <x:c r="AF52" s="12" t="str">
        <x:v>Pingente pequeno / brinco</x:v>
      </x:c>
      <x:c r="AG52" s="12" t="str">
        <x:v>Pingente pequeno / brinco</x:v>
      </x:c>
      <x:c r="AH52" s="12" t="str">
        <x:v>Coleção</x:v>
      </x:c>
      <x:c r="AI52" s="12" t="str"/>
      <x:c r="AJ52" s="12" t="str"/>
      <x:c r="AK52" s="12" t="str"/>
      <x:c r="AL52" s="12" t="str"/>
      <x:c r="AM52" s="12" t="str">
        <x:v>Não informado</x:v>
      </x:c>
      <x:c r="AN52" s="12" t="str"/>
      <x:c r="AO52" s="12" t="str">
        <x:v>2026-07-01</x:v>
      </x:c>
      <x:c r="AP52" s="12" t="str">
        <x:v>2026-07-19</x:v>
      </x:c>
      <x:c r="AQ52" s="12" t="str">
        <x:v>Alta</x:v>
      </x:c>
      <x:c r="AR52" s="12" t="str">
        <x:v>Inventário mestre completo atualizado em 2026-07-01</x:v>
      </x:c>
      <x:c r="AS52" s="12" t="str">
        <x:v>Precificação individual pendente</x:v>
      </x:c>
      <x:c r="AT52" s="12" t="str">
        <x:v>Avaliação visual; tratamentos não avaliados; confirmar naturalidade/tratamento em laboratório.</x:v>
      </x:c>
    </x:row>
    <x:row r="53">
      <x:c r="A53" s="12" t="str">
        <x:v>DG-EM-052</x:v>
      </x:c>
      <x:c r="B53" s="12" t="str"/>
      <x:c r="C53" s="12" t="str">
        <x:v>Emerald Collection</x:v>
      </x:c>
      <x:c r="D53" s="12" t="str">
        <x:v>Esmeraldas</x:v>
      </x:c>
      <x:c r="E53" s="12" t="str">
        <x:v>Berilo</x:v>
      </x:c>
      <x:c r="F53" s="12" t="str">
        <x:v>Esmeralda</x:v>
      </x:c>
      <x:c r="G53" s="12" t="str">
        <x:v>Gema individual</x:v>
      </x:c>
      <x:c r="H53" s="18" t="n">
        <x:v>1</x:v>
      </x:c>
      <x:c r="I53" s="12" t="str">
        <x:v>Oval</x:v>
      </x:c>
      <x:c r="J53" s="12" t="str">
        <x:v>9 x 7 x 3</x:v>
      </x:c>
      <x:c r="K53" s="14" t="n">
        <x:v>1.43</x:v>
      </x:c>
      <x:c r="L53" s="12" t="str">
        <x:v>Sim</x:v>
      </x:c>
      <x:c r="M53" s="12" t="str">
        <x:v>Balança / informado</x:v>
      </x:c>
      <x:c r="N53" s="12" t="str">
        <x:v>Verde médio a intenso</x:v>
      </x:c>
      <x:c r="O53" s="12" t="str">
        <x:v>Semi-transparente a translúcida</x:v>
      </x:c>
      <x:c r="P53" s="12" t="str"/>
      <x:c r="Q53" s="12" t="str">
        <x:v>Não avaliado / não informado</x:v>
      </x:c>
      <x:c r="R53" s="12" t="str">
        <x:v>Não</x:v>
      </x:c>
      <x:c r="S53" s="12" t="str"/>
      <x:c r="T53" s="12" t="str"/>
      <x:c r="U53" s="20"/>
      <x:c r="V53" s="20"/>
      <x:c r="W53" s="20"/>
      <x:c r="X53" s="20"/>
      <x:c r="Y53" s="20"/>
      <x:c r="Z53" s="20"/>
      <x:c r="AA53" s="20"/>
      <x:c r="AB53" s="12" t="str">
        <x:v>Pendente de precificação individual</x:v>
      </x:c>
      <x:c r="AC53" s="16" t="n">
        <x:v>8.1</x:v>
      </x:c>
      <x:c r="AD53" s="12" t="str">
        <x:v>B+</x:v>
      </x:c>
      <x:c r="AE53" s="12" t="str">
        <x:v>A definir</x:v>
      </x:c>
      <x:c r="AF53" s="12" t="str">
        <x:v>Anel / pingente / brincos</x:v>
      </x:c>
      <x:c r="AG53" s="12" t="str">
        <x:v>Anel / pingente / brincos</x:v>
      </x:c>
      <x:c r="AH53" s="12" t="str">
        <x:v>Coleção</x:v>
      </x:c>
      <x:c r="AI53" s="12" t="str"/>
      <x:c r="AJ53" s="12" t="str"/>
      <x:c r="AK53" s="12" t="str"/>
      <x:c r="AL53" s="12" t="str"/>
      <x:c r="AM53" s="12" t="str">
        <x:v>Não informado</x:v>
      </x:c>
      <x:c r="AN53" s="12" t="str"/>
      <x:c r="AO53" s="12" t="str">
        <x:v>2026-07-01</x:v>
      </x:c>
      <x:c r="AP53" s="12" t="str">
        <x:v>2026-07-19</x:v>
      </x:c>
      <x:c r="AQ53" s="12" t="str">
        <x:v>Alta</x:v>
      </x:c>
      <x:c r="AR53" s="12" t="str">
        <x:v>Inventário mestre completo atualizado em 2026-07-01</x:v>
      </x:c>
      <x:c r="AS53" s="12" t="str">
        <x:v>Precificação individual pendente</x:v>
      </x:c>
      <x:c r="AT53" s="12" t="str">
        <x:v>Avaliação visual; tratamentos não avaliados; confirmar naturalidade/tratamento em laboratório.</x:v>
      </x:c>
    </x:row>
    <x:row r="54">
      <x:c r="A54" s="12" t="str">
        <x:v>DG-EM-053</x:v>
      </x:c>
      <x:c r="B54" s="12" t="str"/>
      <x:c r="C54" s="12" t="str">
        <x:v>Emerald Collection</x:v>
      </x:c>
      <x:c r="D54" s="12" t="str">
        <x:v>Esmeraldas</x:v>
      </x:c>
      <x:c r="E54" s="12" t="str">
        <x:v>Berilo</x:v>
      </x:c>
      <x:c r="F54" s="12" t="str">
        <x:v>Esmeralda</x:v>
      </x:c>
      <x:c r="G54" s="12" t="str">
        <x:v>Gema individual</x:v>
      </x:c>
      <x:c r="H54" s="18" t="n">
        <x:v>1</x:v>
      </x:c>
      <x:c r="I54" s="12" t="str">
        <x:v>Oval</x:v>
      </x:c>
      <x:c r="J54" s="12" t="str">
        <x:v>8 x 7 x 4</x:v>
      </x:c>
      <x:c r="K54" s="14" t="n">
        <x:v>1</x:v>
      </x:c>
      <x:c r="L54" s="12" t="str">
        <x:v>Sim</x:v>
      </x:c>
      <x:c r="M54" s="12" t="str">
        <x:v>Balança / informado</x:v>
      </x:c>
      <x:c r="N54" s="12" t="str">
        <x:v>Verde intenso</x:v>
      </x:c>
      <x:c r="O54" s="12" t="str">
        <x:v>Semi-transparente a translúcida</x:v>
      </x:c>
      <x:c r="P54" s="12" t="str"/>
      <x:c r="Q54" s="12" t="str">
        <x:v>Não avaliado / não informado</x:v>
      </x:c>
      <x:c r="R54" s="12" t="str">
        <x:v>Não</x:v>
      </x:c>
      <x:c r="S54" s="12" t="str"/>
      <x:c r="T54" s="12" t="str"/>
      <x:c r="U54" s="20"/>
      <x:c r="V54" s="20"/>
      <x:c r="W54" s="20"/>
      <x:c r="X54" s="20"/>
      <x:c r="Y54" s="20"/>
      <x:c r="Z54" s="20"/>
      <x:c r="AA54" s="20"/>
      <x:c r="AB54" s="12" t="str">
        <x:v>Pendente de precificação individual</x:v>
      </x:c>
      <x:c r="AC54" s="16" t="n">
        <x:v>8.1</x:v>
      </x:c>
      <x:c r="AD54" s="12" t="str">
        <x:v>B+</x:v>
      </x:c>
      <x:c r="AE54" s="12" t="str">
        <x:v>A definir</x:v>
      </x:c>
      <x:c r="AF54" s="12" t="str">
        <x:v>Anel delicado / brinco</x:v>
      </x:c>
      <x:c r="AG54" s="12" t="str">
        <x:v>Anel delicado / brinco</x:v>
      </x:c>
      <x:c r="AH54" s="12" t="str">
        <x:v>Coleção</x:v>
      </x:c>
      <x:c r="AI54" s="12" t="str"/>
      <x:c r="AJ54" s="12" t="str"/>
      <x:c r="AK54" s="12" t="str"/>
      <x:c r="AL54" s="12" t="str"/>
      <x:c r="AM54" s="12" t="str">
        <x:v>Não informado</x:v>
      </x:c>
      <x:c r="AN54" s="12" t="str"/>
      <x:c r="AO54" s="12" t="str">
        <x:v>2026-07-01</x:v>
      </x:c>
      <x:c r="AP54" s="12" t="str">
        <x:v>2026-07-19</x:v>
      </x:c>
      <x:c r="AQ54" s="12" t="str">
        <x:v>Alta</x:v>
      </x:c>
      <x:c r="AR54" s="12" t="str">
        <x:v>Inventário mestre completo atualizado em 2026-07-01</x:v>
      </x:c>
      <x:c r="AS54" s="12" t="str">
        <x:v>Precificação individual pendente</x:v>
      </x:c>
      <x:c r="AT54" s="12" t="str">
        <x:v>Avaliação visual; tratamentos não avaliados; confirmar naturalidade/tratamento em laboratório.</x:v>
      </x:c>
    </x:row>
    <x:row r="55">
      <x:c r="A55" s="12" t="str">
        <x:v>DG-EM-054</x:v>
      </x:c>
      <x:c r="B55" s="12" t="str"/>
      <x:c r="C55" s="12" t="str">
        <x:v>Emerald Collection</x:v>
      </x:c>
      <x:c r="D55" s="12" t="str">
        <x:v>Esmeraldas</x:v>
      </x:c>
      <x:c r="E55" s="12" t="str">
        <x:v>Berilo</x:v>
      </x:c>
      <x:c r="F55" s="12" t="str">
        <x:v>Esmeralda</x:v>
      </x:c>
      <x:c r="G55" s="12" t="str">
        <x:v>Gema individual</x:v>
      </x:c>
      <x:c r="H55" s="18" t="n">
        <x:v>1</x:v>
      </x:c>
      <x:c r="I55" s="12" t="str">
        <x:v>Oval</x:v>
      </x:c>
      <x:c r="J55" s="12" t="str">
        <x:v>8 x 6 x 3</x:v>
      </x:c>
      <x:c r="K55" s="14" t="n">
        <x:v>0.88</x:v>
      </x:c>
      <x:c r="L55" s="12" t="str">
        <x:v>Sim</x:v>
      </x:c>
      <x:c r="M55" s="12" t="str">
        <x:v>Balança / informado</x:v>
      </x:c>
      <x:c r="N55" s="12" t="str">
        <x:v>Verde médio a intenso</x:v>
      </x:c>
      <x:c r="O55" s="12" t="str">
        <x:v>Semi-transparente a translúcida</x:v>
      </x:c>
      <x:c r="P55" s="12" t="str"/>
      <x:c r="Q55" s="12" t="str">
        <x:v>Não avaliado / não informado</x:v>
      </x:c>
      <x:c r="R55" s="12" t="str">
        <x:v>Não</x:v>
      </x:c>
      <x:c r="S55" s="12" t="str"/>
      <x:c r="T55" s="12" t="str"/>
      <x:c r="U55" s="20"/>
      <x:c r="V55" s="20"/>
      <x:c r="W55" s="20"/>
      <x:c r="X55" s="20"/>
      <x:c r="Y55" s="20"/>
      <x:c r="Z55" s="20"/>
      <x:c r="AA55" s="20"/>
      <x:c r="AB55" s="12" t="str">
        <x:v>Pendente de precificação individual</x:v>
      </x:c>
      <x:c r="AC55" s="16" t="n">
        <x:v>8</x:v>
      </x:c>
      <x:c r="AD55" s="12" t="str">
        <x:v>B+</x:v>
      </x:c>
      <x:c r="AE55" s="12" t="str">
        <x:v>A definir</x:v>
      </x:c>
      <x:c r="AF55" s="12" t="str">
        <x:v>Anel delicado / brinco</x:v>
      </x:c>
      <x:c r="AG55" s="12" t="str">
        <x:v>Anel delicado / brinco</x:v>
      </x:c>
      <x:c r="AH55" s="12" t="str">
        <x:v>Coleção</x:v>
      </x:c>
      <x:c r="AI55" s="12" t="str"/>
      <x:c r="AJ55" s="12" t="str"/>
      <x:c r="AK55" s="12" t="str"/>
      <x:c r="AL55" s="12" t="str"/>
      <x:c r="AM55" s="12" t="str">
        <x:v>Não informado</x:v>
      </x:c>
      <x:c r="AN55" s="12" t="str"/>
      <x:c r="AO55" s="12" t="str">
        <x:v>2026-07-01</x:v>
      </x:c>
      <x:c r="AP55" s="12" t="str">
        <x:v>2026-07-19</x:v>
      </x:c>
      <x:c r="AQ55" s="12" t="str">
        <x:v>Alta</x:v>
      </x:c>
      <x:c r="AR55" s="12" t="str">
        <x:v>Inventário mestre completo atualizado em 2026-07-01</x:v>
      </x:c>
      <x:c r="AS55" s="12" t="str">
        <x:v>Precificação individual pendente</x:v>
      </x:c>
      <x:c r="AT55" s="12" t="str">
        <x:v>Avaliação visual; tratamentos não avaliados; confirmar naturalidade/tratamento em laboratório.</x:v>
      </x:c>
    </x:row>
    <x:row r="56">
      <x:c r="A56" s="12" t="str">
        <x:v>DG-EM-055</x:v>
      </x:c>
      <x:c r="B56" s="12" t="str"/>
      <x:c r="C56" s="12" t="str">
        <x:v>Emerald Collection</x:v>
      </x:c>
      <x:c r="D56" s="12" t="str">
        <x:v>Esmeraldas</x:v>
      </x:c>
      <x:c r="E56" s="12" t="str">
        <x:v>Berilo</x:v>
      </x:c>
      <x:c r="F56" s="12" t="str">
        <x:v>Esmeralda</x:v>
      </x:c>
      <x:c r="G56" s="12" t="str">
        <x:v>Gema individual</x:v>
      </x:c>
      <x:c r="H56" s="18" t="n">
        <x:v>1</x:v>
      </x:c>
      <x:c r="I56" s="12" t="str">
        <x:v>Oval</x:v>
      </x:c>
      <x:c r="J56" s="12" t="str">
        <x:v>8 x 7 x 4</x:v>
      </x:c>
      <x:c r="K56" s="14" t="n">
        <x:v>0.935</x:v>
      </x:c>
      <x:c r="L56" s="12" t="str">
        <x:v>Sim</x:v>
      </x:c>
      <x:c r="M56" s="12" t="str">
        <x:v>Balança / informado</x:v>
      </x:c>
      <x:c r="N56" s="12" t="str">
        <x:v>Verde intenso</x:v>
      </x:c>
      <x:c r="O56" s="12" t="str">
        <x:v>Semi-transparente a translúcida</x:v>
      </x:c>
      <x:c r="P56" s="12" t="str"/>
      <x:c r="Q56" s="12" t="str">
        <x:v>Não avaliado / não informado</x:v>
      </x:c>
      <x:c r="R56" s="12" t="str">
        <x:v>Não</x:v>
      </x:c>
      <x:c r="S56" s="12" t="str"/>
      <x:c r="T56" s="12" t="str"/>
      <x:c r="U56" s="20"/>
      <x:c r="V56" s="20"/>
      <x:c r="W56" s="20"/>
      <x:c r="X56" s="20"/>
      <x:c r="Y56" s="20"/>
      <x:c r="Z56" s="20"/>
      <x:c r="AA56" s="20"/>
      <x:c r="AB56" s="12" t="str">
        <x:v>Pendente de precificação individual</x:v>
      </x:c>
      <x:c r="AC56" s="16" t="n">
        <x:v>8</x:v>
      </x:c>
      <x:c r="AD56" s="12" t="str">
        <x:v>B+</x:v>
      </x:c>
      <x:c r="AE56" s="12" t="str">
        <x:v>A definir</x:v>
      </x:c>
      <x:c r="AF56" s="12" t="str">
        <x:v>Anel delicado / brinco</x:v>
      </x:c>
      <x:c r="AG56" s="12" t="str">
        <x:v>Anel delicado / brinco</x:v>
      </x:c>
      <x:c r="AH56" s="12" t="str">
        <x:v>Coleção</x:v>
      </x:c>
      <x:c r="AI56" s="12" t="str"/>
      <x:c r="AJ56" s="12" t="str"/>
      <x:c r="AK56" s="12" t="str"/>
      <x:c r="AL56" s="12" t="str"/>
      <x:c r="AM56" s="12" t="str">
        <x:v>Não informado</x:v>
      </x:c>
      <x:c r="AN56" s="12" t="str"/>
      <x:c r="AO56" s="12" t="str">
        <x:v>2026-07-01</x:v>
      </x:c>
      <x:c r="AP56" s="12" t="str">
        <x:v>2026-07-19</x:v>
      </x:c>
      <x:c r="AQ56" s="12" t="str">
        <x:v>Alta</x:v>
      </x:c>
      <x:c r="AR56" s="12" t="str">
        <x:v>Inventário mestre completo atualizado em 2026-07-01</x:v>
      </x:c>
      <x:c r="AS56" s="12" t="str">
        <x:v>Precificação individual pendente</x:v>
      </x:c>
      <x:c r="AT56" s="12" t="str">
        <x:v>Avaliação visual; tratamentos não avaliados; confirmar naturalidade/tratamento em laboratório.</x:v>
      </x:c>
    </x:row>
    <x:row r="57">
      <x:c r="A57" s="12" t="str">
        <x:v>DG-EM-056</x:v>
      </x:c>
      <x:c r="B57" s="12" t="str"/>
      <x:c r="C57" s="12" t="str">
        <x:v>Emerald Collection</x:v>
      </x:c>
      <x:c r="D57" s="12" t="str">
        <x:v>Esmeraldas</x:v>
      </x:c>
      <x:c r="E57" s="12" t="str">
        <x:v>Berilo</x:v>
      </x:c>
      <x:c r="F57" s="12" t="str">
        <x:v>Esmeralda</x:v>
      </x:c>
      <x:c r="G57" s="12" t="str">
        <x:v>Gema individual</x:v>
      </x:c>
      <x:c r="H57" s="18" t="n">
        <x:v>1</x:v>
      </x:c>
      <x:c r="I57" s="12" t="str">
        <x:v>Oval</x:v>
      </x:c>
      <x:c r="J57" s="12" t="str">
        <x:v>8 x 7 x 4</x:v>
      </x:c>
      <x:c r="K57" s="14" t="n">
        <x:v>0.965</x:v>
      </x:c>
      <x:c r="L57" s="12" t="str">
        <x:v>Sim</x:v>
      </x:c>
      <x:c r="M57" s="12" t="str">
        <x:v>Balança / informado</x:v>
      </x:c>
      <x:c r="N57" s="12" t="str">
        <x:v>Verde intenso</x:v>
      </x:c>
      <x:c r="O57" s="12" t="str">
        <x:v>Semi-transparente a translúcida</x:v>
      </x:c>
      <x:c r="P57" s="12" t="str"/>
      <x:c r="Q57" s="12" t="str">
        <x:v>Não avaliado / não informado</x:v>
      </x:c>
      <x:c r="R57" s="12" t="str">
        <x:v>Não</x:v>
      </x:c>
      <x:c r="S57" s="12" t="str"/>
      <x:c r="T57" s="12" t="str"/>
      <x:c r="U57" s="20"/>
      <x:c r="V57" s="20"/>
      <x:c r="W57" s="20"/>
      <x:c r="X57" s="20"/>
      <x:c r="Y57" s="20"/>
      <x:c r="Z57" s="20"/>
      <x:c r="AA57" s="20"/>
      <x:c r="AB57" s="12" t="str">
        <x:v>Pendente de precificação individual</x:v>
      </x:c>
      <x:c r="AC57" s="16" t="n">
        <x:v>8.1</x:v>
      </x:c>
      <x:c r="AD57" s="12" t="str">
        <x:v>B+</x:v>
      </x:c>
      <x:c r="AE57" s="12" t="str">
        <x:v>A definir</x:v>
      </x:c>
      <x:c r="AF57" s="12" t="str">
        <x:v>Anel delicado / brinco</x:v>
      </x:c>
      <x:c r="AG57" s="12" t="str">
        <x:v>Anel delicado / brinco</x:v>
      </x:c>
      <x:c r="AH57" s="12" t="str">
        <x:v>Coleção</x:v>
      </x:c>
      <x:c r="AI57" s="12" t="str"/>
      <x:c r="AJ57" s="12" t="str"/>
      <x:c r="AK57" s="12" t="str"/>
      <x:c r="AL57" s="12" t="str"/>
      <x:c r="AM57" s="12" t="str">
        <x:v>Não informado</x:v>
      </x:c>
      <x:c r="AN57" s="12" t="str"/>
      <x:c r="AO57" s="12" t="str">
        <x:v>2026-07-01</x:v>
      </x:c>
      <x:c r="AP57" s="12" t="str">
        <x:v>2026-07-19</x:v>
      </x:c>
      <x:c r="AQ57" s="12" t="str">
        <x:v>Alta</x:v>
      </x:c>
      <x:c r="AR57" s="12" t="str">
        <x:v>Inventário mestre completo atualizado em 2026-07-01</x:v>
      </x:c>
      <x:c r="AS57" s="12" t="str">
        <x:v>Precificação individual pendente</x:v>
      </x:c>
      <x:c r="AT57" s="12" t="str">
        <x:v>Avaliação visual; tratamentos não avaliados; confirmar naturalidade/tratamento em laboratório.</x:v>
      </x:c>
    </x:row>
    <x:row r="58">
      <x:c r="A58" s="12" t="str">
        <x:v>DG-EM-057</x:v>
      </x:c>
      <x:c r="B58" s="12" t="str"/>
      <x:c r="C58" s="12" t="str">
        <x:v>Emerald Collection</x:v>
      </x:c>
      <x:c r="D58" s="12" t="str">
        <x:v>Esmeraldas</x:v>
      </x:c>
      <x:c r="E58" s="12" t="str">
        <x:v>Berilo</x:v>
      </x:c>
      <x:c r="F58" s="12" t="str">
        <x:v>Esmeralda</x:v>
      </x:c>
      <x:c r="G58" s="12" t="str">
        <x:v>Gema individual</x:v>
      </x:c>
      <x:c r="H58" s="18" t="n">
        <x:v>1</x:v>
      </x:c>
      <x:c r="I58" s="12" t="str">
        <x:v>Oval</x:v>
      </x:c>
      <x:c r="J58" s="12" t="str">
        <x:v>9 x 7 x 3</x:v>
      </x:c>
      <x:c r="K58" s="14" t="n">
        <x:v>1.18</x:v>
      </x:c>
      <x:c r="L58" s="12" t="str">
        <x:v>Sim</x:v>
      </x:c>
      <x:c r="M58" s="12" t="str">
        <x:v>Balança / informado</x:v>
      </x:c>
      <x:c r="N58" s="12" t="str">
        <x:v>Verde médio a intenso</x:v>
      </x:c>
      <x:c r="O58" s="12" t="str">
        <x:v>Semi-transparente a translúcida</x:v>
      </x:c>
      <x:c r="P58" s="12" t="str"/>
      <x:c r="Q58" s="12" t="str">
        <x:v>Não avaliado / não informado</x:v>
      </x:c>
      <x:c r="R58" s="12" t="str">
        <x:v>Não</x:v>
      </x:c>
      <x:c r="S58" s="12" t="str"/>
      <x:c r="T58" s="12" t="str"/>
      <x:c r="U58" s="20"/>
      <x:c r="V58" s="20"/>
      <x:c r="W58" s="20"/>
      <x:c r="X58" s="20"/>
      <x:c r="Y58" s="20"/>
      <x:c r="Z58" s="20"/>
      <x:c r="AA58" s="20"/>
      <x:c r="AB58" s="12" t="str">
        <x:v>Pendente de precificação individual</x:v>
      </x:c>
      <x:c r="AC58" s="16" t="n">
        <x:v>8</x:v>
      </x:c>
      <x:c r="AD58" s="12" t="str">
        <x:v>B+</x:v>
      </x:c>
      <x:c r="AE58" s="12" t="str">
        <x:v>A definir</x:v>
      </x:c>
      <x:c r="AF58" s="12" t="str">
        <x:v>Anel / pingente / brincos</x:v>
      </x:c>
      <x:c r="AG58" s="12" t="str">
        <x:v>Anel / pingente / brincos</x:v>
      </x:c>
      <x:c r="AH58" s="12" t="str">
        <x:v>Coleção</x:v>
      </x:c>
      <x:c r="AI58" s="12" t="str"/>
      <x:c r="AJ58" s="12" t="str"/>
      <x:c r="AK58" s="12" t="str"/>
      <x:c r="AL58" s="12" t="str"/>
      <x:c r="AM58" s="12" t="str">
        <x:v>Não informado</x:v>
      </x:c>
      <x:c r="AN58" s="12" t="str"/>
      <x:c r="AO58" s="12" t="str">
        <x:v>2026-07-01</x:v>
      </x:c>
      <x:c r="AP58" s="12" t="str">
        <x:v>2026-07-19</x:v>
      </x:c>
      <x:c r="AQ58" s="12" t="str">
        <x:v>Alta</x:v>
      </x:c>
      <x:c r="AR58" s="12" t="str">
        <x:v>Inventário mestre completo atualizado em 2026-07-01</x:v>
      </x:c>
      <x:c r="AS58" s="12" t="str">
        <x:v>Precificação individual pendente</x:v>
      </x:c>
      <x:c r="AT58" s="12" t="str">
        <x:v>Avaliação visual; tratamentos não avaliados; confirmar naturalidade/tratamento em laboratório.</x:v>
      </x:c>
    </x:row>
    <x:row r="59">
      <x:c r="A59" s="12" t="str">
        <x:v>DG-EM-058</x:v>
      </x:c>
      <x:c r="B59" s="12" t="str"/>
      <x:c r="C59" s="12" t="str">
        <x:v>Emerald Collection</x:v>
      </x:c>
      <x:c r="D59" s="12" t="str">
        <x:v>Esmeraldas</x:v>
      </x:c>
      <x:c r="E59" s="12" t="str">
        <x:v>Berilo</x:v>
      </x:c>
      <x:c r="F59" s="12" t="str">
        <x:v>Esmeralda</x:v>
      </x:c>
      <x:c r="G59" s="12" t="str">
        <x:v>Gema individual</x:v>
      </x:c>
      <x:c r="H59" s="18" t="n">
        <x:v>1</x:v>
      </x:c>
      <x:c r="I59" s="12" t="str">
        <x:v>Oval</x:v>
      </x:c>
      <x:c r="J59" s="12" t="str">
        <x:v>10 x 7 x 3</x:v>
      </x:c>
      <x:c r="K59" s="14" t="n">
        <x:v>1.4</x:v>
      </x:c>
      <x:c r="L59" s="12" t="str">
        <x:v>Sim</x:v>
      </x:c>
      <x:c r="M59" s="12" t="str">
        <x:v>Balança / informado</x:v>
      </x:c>
      <x:c r="N59" s="12" t="str">
        <x:v>Verde médio a intenso</x:v>
      </x:c>
      <x:c r="O59" s="12" t="str">
        <x:v>Semi-transparente a translúcida</x:v>
      </x:c>
      <x:c r="P59" s="12" t="str"/>
      <x:c r="Q59" s="12" t="str">
        <x:v>Não avaliado / não informado</x:v>
      </x:c>
      <x:c r="R59" s="12" t="str">
        <x:v>Não</x:v>
      </x:c>
      <x:c r="S59" s="12" t="str"/>
      <x:c r="T59" s="12" t="str"/>
      <x:c r="U59" s="20"/>
      <x:c r="V59" s="20"/>
      <x:c r="W59" s="20"/>
      <x:c r="X59" s="20"/>
      <x:c r="Y59" s="20"/>
      <x:c r="Z59" s="20"/>
      <x:c r="AA59" s="20"/>
      <x:c r="AB59" s="12" t="str">
        <x:v>Pendente de precificação individual</x:v>
      </x:c>
      <x:c r="AC59" s="16" t="n">
        <x:v>8.1</x:v>
      </x:c>
      <x:c r="AD59" s="12" t="str">
        <x:v>B+</x:v>
      </x:c>
      <x:c r="AE59" s="12" t="str">
        <x:v>A definir</x:v>
      </x:c>
      <x:c r="AF59" s="12" t="str">
        <x:v>Anel / pingente</x:v>
      </x:c>
      <x:c r="AG59" s="12" t="str">
        <x:v>Anel / pingente</x:v>
      </x:c>
      <x:c r="AH59" s="12" t="str">
        <x:v>Coleção</x:v>
      </x:c>
      <x:c r="AI59" s="12" t="str"/>
      <x:c r="AJ59" s="12" t="str"/>
      <x:c r="AK59" s="12" t="str"/>
      <x:c r="AL59" s="12" t="str"/>
      <x:c r="AM59" s="12" t="str">
        <x:v>Não informado</x:v>
      </x:c>
      <x:c r="AN59" s="12" t="str"/>
      <x:c r="AO59" s="12" t="str">
        <x:v>2026-07-01</x:v>
      </x:c>
      <x:c r="AP59" s="12" t="str">
        <x:v>2026-07-19</x:v>
      </x:c>
      <x:c r="AQ59" s="12" t="str">
        <x:v>Alta</x:v>
      </x:c>
      <x:c r="AR59" s="12" t="str">
        <x:v>Inventário mestre completo atualizado em 2026-07-01</x:v>
      </x:c>
      <x:c r="AS59" s="12" t="str">
        <x:v>Precificação individual pendente</x:v>
      </x:c>
      <x:c r="AT59" s="12" t="str">
        <x:v>Avaliação visual; tratamentos não avaliados; confirmar naturalidade/tratamento em laboratório.</x:v>
      </x:c>
    </x:row>
    <x:row r="60">
      <x:c r="A60" s="12" t="str">
        <x:v>DG-EM-059</x:v>
      </x:c>
      <x:c r="B60" s="12" t="str"/>
      <x:c r="C60" s="12" t="str">
        <x:v>Emerald Collection</x:v>
      </x:c>
      <x:c r="D60" s="12" t="str">
        <x:v>Esmeraldas</x:v>
      </x:c>
      <x:c r="E60" s="12" t="str">
        <x:v>Berilo</x:v>
      </x:c>
      <x:c r="F60" s="12" t="str">
        <x:v>Esmeralda</x:v>
      </x:c>
      <x:c r="G60" s="12" t="str">
        <x:v>Gema individual</x:v>
      </x:c>
      <x:c r="H60" s="18" t="n">
        <x:v>1</x:v>
      </x:c>
      <x:c r="I60" s="12" t="str">
        <x:v>Oval</x:v>
      </x:c>
      <x:c r="J60" s="12" t="str">
        <x:v>8 x 6 x 4</x:v>
      </x:c>
      <x:c r="K60" s="14" t="n">
        <x:v>1.12</x:v>
      </x:c>
      <x:c r="L60" s="12" t="str">
        <x:v>Sim</x:v>
      </x:c>
      <x:c r="M60" s="12" t="str">
        <x:v>Balança / informado</x:v>
      </x:c>
      <x:c r="N60" s="12" t="str">
        <x:v>Verde médio</x:v>
      </x:c>
      <x:c r="O60" s="12" t="str">
        <x:v>Semi-transparente a translúcida</x:v>
      </x:c>
      <x:c r="P60" s="12" t="str"/>
      <x:c r="Q60" s="12" t="str">
        <x:v>Não avaliado / não informado</x:v>
      </x:c>
      <x:c r="R60" s="12" t="str">
        <x:v>Não</x:v>
      </x:c>
      <x:c r="S60" s="12" t="str"/>
      <x:c r="T60" s="12" t="str"/>
      <x:c r="U60" s="20"/>
      <x:c r="V60" s="20"/>
      <x:c r="W60" s="20"/>
      <x:c r="X60" s="20"/>
      <x:c r="Y60" s="20"/>
      <x:c r="Z60" s="20"/>
      <x:c r="AA60" s="20"/>
      <x:c r="AB60" s="12" t="str">
        <x:v>Pendente de precificação individual</x:v>
      </x:c>
      <x:c r="AC60" s="16" t="n">
        <x:v>8</x:v>
      </x:c>
      <x:c r="AD60" s="12" t="str">
        <x:v>B+</x:v>
      </x:c>
      <x:c r="AE60" s="12" t="str">
        <x:v>A definir</x:v>
      </x:c>
      <x:c r="AF60" s="12" t="str">
        <x:v>Anel / brinco / pingente</x:v>
      </x:c>
      <x:c r="AG60" s="12" t="str">
        <x:v>Anel / brinco / pingente</x:v>
      </x:c>
      <x:c r="AH60" s="12" t="str">
        <x:v>Coleção</x:v>
      </x:c>
      <x:c r="AI60" s="12" t="str"/>
      <x:c r="AJ60" s="12" t="str"/>
      <x:c r="AK60" s="12" t="str"/>
      <x:c r="AL60" s="12" t="str"/>
      <x:c r="AM60" s="12" t="str">
        <x:v>Não informado</x:v>
      </x:c>
      <x:c r="AN60" s="12" t="str"/>
      <x:c r="AO60" s="12" t="str">
        <x:v>2026-07-01</x:v>
      </x:c>
      <x:c r="AP60" s="12" t="str">
        <x:v>2026-07-19</x:v>
      </x:c>
      <x:c r="AQ60" s="12" t="str">
        <x:v>Alta</x:v>
      </x:c>
      <x:c r="AR60" s="12" t="str">
        <x:v>Inventário mestre completo atualizado em 2026-07-01</x:v>
      </x:c>
      <x:c r="AS60" s="12" t="str">
        <x:v>Precificação individual pendente</x:v>
      </x:c>
      <x:c r="AT60" s="12" t="str">
        <x:v>Avaliação visual; tratamentos não avaliados; confirmar naturalidade/tratamento em laboratório.</x:v>
      </x:c>
    </x:row>
    <x:row r="61">
      <x:c r="A61" s="12" t="str">
        <x:v>DG-EM-060</x:v>
      </x:c>
      <x:c r="B61" s="12" t="str"/>
      <x:c r="C61" s="12" t="str">
        <x:v>Emerald Collection</x:v>
      </x:c>
      <x:c r="D61" s="12" t="str">
        <x:v>Esmeraldas</x:v>
      </x:c>
      <x:c r="E61" s="12" t="str">
        <x:v>Berilo</x:v>
      </x:c>
      <x:c r="F61" s="12" t="str">
        <x:v>Esmeralda</x:v>
      </x:c>
      <x:c r="G61" s="12" t="str">
        <x:v>Gema individual</x:v>
      </x:c>
      <x:c r="H61" s="18" t="n">
        <x:v>1</x:v>
      </x:c>
      <x:c r="I61" s="12" t="str">
        <x:v>Oval</x:v>
      </x:c>
      <x:c r="J61" s="12" t="str">
        <x:v>10 x 7 x 5</x:v>
      </x:c>
      <x:c r="K61" s="14" t="n">
        <x:v>1.635</x:v>
      </x:c>
      <x:c r="L61" s="12" t="str">
        <x:v>Sim</x:v>
      </x:c>
      <x:c r="M61" s="12" t="str">
        <x:v>Balança / informado</x:v>
      </x:c>
      <x:c r="N61" s="12" t="str">
        <x:v>Verde médio a intenso</x:v>
      </x:c>
      <x:c r="O61" s="12" t="str">
        <x:v>Semi-transparente a translúcida</x:v>
      </x:c>
      <x:c r="P61" s="12" t="str"/>
      <x:c r="Q61" s="12" t="str">
        <x:v>Não avaliado / não informado</x:v>
      </x:c>
      <x:c r="R61" s="12" t="str">
        <x:v>Não</x:v>
      </x:c>
      <x:c r="S61" s="12" t="str"/>
      <x:c r="T61" s="12" t="str"/>
      <x:c r="U61" s="20"/>
      <x:c r="V61" s="20"/>
      <x:c r="W61" s="20"/>
      <x:c r="X61" s="20"/>
      <x:c r="Y61" s="20"/>
      <x:c r="Z61" s="20"/>
      <x:c r="AA61" s="20"/>
      <x:c r="AB61" s="12" t="str">
        <x:v>Pendente de precificação individual</x:v>
      </x:c>
      <x:c r="AC61" s="16" t="n">
        <x:v>8.2</x:v>
      </x:c>
      <x:c r="AD61" s="12" t="str">
        <x:v>B+</x:v>
      </x:c>
      <x:c r="AE61" s="12" t="str">
        <x:v>A definir</x:v>
      </x:c>
      <x:c r="AF61" s="12" t="str">
        <x:v>Anel / pingente</x:v>
      </x:c>
      <x:c r="AG61" s="12" t="str">
        <x:v>Anel / pingente</x:v>
      </x:c>
      <x:c r="AH61" s="12" t="str">
        <x:v>Coleção</x:v>
      </x:c>
      <x:c r="AI61" s="12" t="str"/>
      <x:c r="AJ61" s="12" t="str"/>
      <x:c r="AK61" s="12" t="str"/>
      <x:c r="AL61" s="12" t="str"/>
      <x:c r="AM61" s="12" t="str">
        <x:v>Não informado</x:v>
      </x:c>
      <x:c r="AN61" s="12" t="str"/>
      <x:c r="AO61" s="12" t="str">
        <x:v>2026-07-01</x:v>
      </x:c>
      <x:c r="AP61" s="12" t="str">
        <x:v>2026-07-19</x:v>
      </x:c>
      <x:c r="AQ61" s="12" t="str">
        <x:v>Alta</x:v>
      </x:c>
      <x:c r="AR61" s="12" t="str">
        <x:v>Inventário mestre completo atualizado em 2026-07-01</x:v>
      </x:c>
      <x:c r="AS61" s="12" t="str">
        <x:v>Precificação individual pendente</x:v>
      </x:c>
      <x:c r="AT61" s="12" t="str">
        <x:v>Avaliação visual; tratamentos não avaliados; confirmar naturalidade/tratamento em laboratório.</x:v>
      </x:c>
    </x:row>
    <x:row r="62">
      <x:c r="A62" s="12" t="str">
        <x:v>DG-EM-061</x:v>
      </x:c>
      <x:c r="B62" s="12" t="str"/>
      <x:c r="C62" s="12" t="str">
        <x:v>Emerald Collection</x:v>
      </x:c>
      <x:c r="D62" s="12" t="str">
        <x:v>Esmeraldas</x:v>
      </x:c>
      <x:c r="E62" s="12" t="str">
        <x:v>Berilo</x:v>
      </x:c>
      <x:c r="F62" s="12" t="str">
        <x:v>Esmeralda</x:v>
      </x:c>
      <x:c r="G62" s="12" t="str">
        <x:v>Gema individual</x:v>
      </x:c>
      <x:c r="H62" s="18" t="n">
        <x:v>1</x:v>
      </x:c>
      <x:c r="I62" s="12" t="str">
        <x:v>Oval</x:v>
      </x:c>
      <x:c r="J62" s="12" t="str">
        <x:v>9 x 7 x 4</x:v>
      </x:c>
      <x:c r="K62" s="14" t="n">
        <x:v>1.365</x:v>
      </x:c>
      <x:c r="L62" s="12" t="str">
        <x:v>Sim</x:v>
      </x:c>
      <x:c r="M62" s="12" t="str">
        <x:v>Balança / informado</x:v>
      </x:c>
      <x:c r="N62" s="12" t="str">
        <x:v>Verde médio</x:v>
      </x:c>
      <x:c r="O62" s="12" t="str">
        <x:v>Semi-transparente a translúcida</x:v>
      </x:c>
      <x:c r="P62" s="12" t="str"/>
      <x:c r="Q62" s="12" t="str">
        <x:v>Não avaliado / não informado</x:v>
      </x:c>
      <x:c r="R62" s="12" t="str">
        <x:v>Não</x:v>
      </x:c>
      <x:c r="S62" s="12" t="str"/>
      <x:c r="T62" s="12" t="str"/>
      <x:c r="U62" s="20"/>
      <x:c r="V62" s="20"/>
      <x:c r="W62" s="20"/>
      <x:c r="X62" s="20"/>
      <x:c r="Y62" s="20"/>
      <x:c r="Z62" s="20"/>
      <x:c r="AA62" s="20"/>
      <x:c r="AB62" s="12" t="str">
        <x:v>Pendente de precificação individual</x:v>
      </x:c>
      <x:c r="AC62" s="16" t="n">
        <x:v>8</x:v>
      </x:c>
      <x:c r="AD62" s="12" t="str">
        <x:v>B+</x:v>
      </x:c>
      <x:c r="AE62" s="12" t="str">
        <x:v>A definir</x:v>
      </x:c>
      <x:c r="AF62" s="12" t="str">
        <x:v>Anel / brinco / pingente</x:v>
      </x:c>
      <x:c r="AG62" s="12" t="str">
        <x:v>Anel / brinco / pingente</x:v>
      </x:c>
      <x:c r="AH62" s="12" t="str">
        <x:v>Coleção</x:v>
      </x:c>
      <x:c r="AI62" s="12" t="str"/>
      <x:c r="AJ62" s="12" t="str"/>
      <x:c r="AK62" s="12" t="str"/>
      <x:c r="AL62" s="12" t="str"/>
      <x:c r="AM62" s="12" t="str">
        <x:v>Não informado</x:v>
      </x:c>
      <x:c r="AN62" s="12" t="str"/>
      <x:c r="AO62" s="12" t="str">
        <x:v>2026-07-01</x:v>
      </x:c>
      <x:c r="AP62" s="12" t="str">
        <x:v>2026-07-19</x:v>
      </x:c>
      <x:c r="AQ62" s="12" t="str">
        <x:v>Alta</x:v>
      </x:c>
      <x:c r="AR62" s="12" t="str">
        <x:v>Inventário mestre completo atualizado em 2026-07-01</x:v>
      </x:c>
      <x:c r="AS62" s="12" t="str">
        <x:v>Precificação individual pendente</x:v>
      </x:c>
      <x:c r="AT62" s="12" t="str">
        <x:v>Avaliação visual; tratamentos não avaliados; confirmar naturalidade/tratamento em laboratório.</x:v>
      </x:c>
    </x:row>
    <x:row r="63">
      <x:c r="A63" s="12" t="str">
        <x:v>DG-EM-062</x:v>
      </x:c>
      <x:c r="B63" s="12" t="str"/>
      <x:c r="C63" s="12" t="str">
        <x:v>Emerald Collection</x:v>
      </x:c>
      <x:c r="D63" s="12" t="str">
        <x:v>Esmeraldas</x:v>
      </x:c>
      <x:c r="E63" s="12" t="str">
        <x:v>Berilo</x:v>
      </x:c>
      <x:c r="F63" s="12" t="str">
        <x:v>Esmeralda</x:v>
      </x:c>
      <x:c r="G63" s="12" t="str">
        <x:v>Gema individual</x:v>
      </x:c>
      <x:c r="H63" s="18" t="n">
        <x:v>1</x:v>
      </x:c>
      <x:c r="I63" s="12" t="str">
        <x:v>Oval</x:v>
      </x:c>
      <x:c r="J63" s="12" t="str">
        <x:v>13 x 8 x 5</x:v>
      </x:c>
      <x:c r="K63" s="14" t="n">
        <x:v>2.315</x:v>
      </x:c>
      <x:c r="L63" s="12" t="str">
        <x:v>Sim</x:v>
      </x:c>
      <x:c r="M63" s="12" t="str">
        <x:v>Balança / informado</x:v>
      </x:c>
      <x:c r="N63" s="12" t="str">
        <x:v>Verde médio a intenso</x:v>
      </x:c>
      <x:c r="O63" s="12" t="str">
        <x:v>Semi-transparente a translúcida</x:v>
      </x:c>
      <x:c r="P63" s="12" t="str"/>
      <x:c r="Q63" s="12" t="str">
        <x:v>Não avaliado / não informado</x:v>
      </x:c>
      <x:c r="R63" s="12" t="str">
        <x:v>Não</x:v>
      </x:c>
      <x:c r="S63" s="12" t="str"/>
      <x:c r="T63" s="12" t="str"/>
      <x:c r="U63" s="20"/>
      <x:c r="V63" s="20"/>
      <x:c r="W63" s="20"/>
      <x:c r="X63" s="20"/>
      <x:c r="Y63" s="20"/>
      <x:c r="Z63" s="20"/>
      <x:c r="AA63" s="20"/>
      <x:c r="AB63" s="12" t="str">
        <x:v>Pendente de precificação individual</x:v>
      </x:c>
      <x:c r="AC63" s="16" t="n">
        <x:v>8.4</x:v>
      </x:c>
      <x:c r="AD63" s="12" t="str">
        <x:v>A-</x:v>
      </x:c>
      <x:c r="AE63" s="12" t="str">
        <x:v>A definir</x:v>
      </x:c>
      <x:c r="AF63" s="12" t="str">
        <x:v>Anel de destaque / pingente</x:v>
      </x:c>
      <x:c r="AG63" s="12" t="str">
        <x:v>Anel de destaque / pingente</x:v>
      </x:c>
      <x:c r="AH63" s="12" t="str">
        <x:v>Coleção</x:v>
      </x:c>
      <x:c r="AI63" s="12" t="str"/>
      <x:c r="AJ63" s="12" t="str"/>
      <x:c r="AK63" s="12" t="str"/>
      <x:c r="AL63" s="12" t="str"/>
      <x:c r="AM63" s="12" t="str">
        <x:v>Não informado</x:v>
      </x:c>
      <x:c r="AN63" s="12" t="str"/>
      <x:c r="AO63" s="12" t="str">
        <x:v>2026-07-01</x:v>
      </x:c>
      <x:c r="AP63" s="12" t="str">
        <x:v>2026-07-19</x:v>
      </x:c>
      <x:c r="AQ63" s="12" t="str">
        <x:v>Alta</x:v>
      </x:c>
      <x:c r="AR63" s="12" t="str">
        <x:v>Inventário mestre completo atualizado em 2026-07-01</x:v>
      </x:c>
      <x:c r="AS63" s="12" t="str">
        <x:v>Precificação individual pendente</x:v>
      </x:c>
      <x:c r="AT63" s="12" t="str">
        <x:v>Avaliação visual; tratamentos não avaliados; confirmar naturalidade/tratamento em laboratório.</x:v>
      </x:c>
    </x:row>
    <x:row r="64">
      <x:c r="A64" s="12" t="str">
        <x:v>DG-EM-063</x:v>
      </x:c>
      <x:c r="B64" s="12" t="str"/>
      <x:c r="C64" s="12" t="str">
        <x:v>Emerald Collection</x:v>
      </x:c>
      <x:c r="D64" s="12" t="str">
        <x:v>Esmeraldas</x:v>
      </x:c>
      <x:c r="E64" s="12" t="str">
        <x:v>Berilo</x:v>
      </x:c>
      <x:c r="F64" s="12" t="str">
        <x:v>Esmeralda</x:v>
      </x:c>
      <x:c r="G64" s="12" t="str">
        <x:v>Gema individual</x:v>
      </x:c>
      <x:c r="H64" s="18" t="n">
        <x:v>1</x:v>
      </x:c>
      <x:c r="I64" s="12" t="str">
        <x:v>Oval</x:v>
      </x:c>
      <x:c r="J64" s="12" t="str">
        <x:v>11 x 7 x 5</x:v>
      </x:c>
      <x:c r="K64" s="14" t="n">
        <x:v>2.095</x:v>
      </x:c>
      <x:c r="L64" s="12" t="str">
        <x:v>Sim</x:v>
      </x:c>
      <x:c r="M64" s="12" t="str">
        <x:v>Balança / informado</x:v>
      </x:c>
      <x:c r="N64" s="12" t="str">
        <x:v>Verde intenso</x:v>
      </x:c>
      <x:c r="O64" s="12" t="str">
        <x:v>Semi-transparente a translúcida</x:v>
      </x:c>
      <x:c r="P64" s="12" t="str"/>
      <x:c r="Q64" s="12" t="str">
        <x:v>Não avaliado / não informado</x:v>
      </x:c>
      <x:c r="R64" s="12" t="str">
        <x:v>Não</x:v>
      </x:c>
      <x:c r="S64" s="12" t="str"/>
      <x:c r="T64" s="12" t="str"/>
      <x:c r="U64" s="20"/>
      <x:c r="V64" s="20"/>
      <x:c r="W64" s="20"/>
      <x:c r="X64" s="20"/>
      <x:c r="Y64" s="20"/>
      <x:c r="Z64" s="20"/>
      <x:c r="AA64" s="20"/>
      <x:c r="AB64" s="12" t="str">
        <x:v>Pendente de precificação individual</x:v>
      </x:c>
      <x:c r="AC64" s="16" t="n">
        <x:v>8.5</x:v>
      </x:c>
      <x:c r="AD64" s="12" t="str">
        <x:v>A-</x:v>
      </x:c>
      <x:c r="AE64" s="12" t="str">
        <x:v>A definir</x:v>
      </x:c>
      <x:c r="AF64" s="12" t="str">
        <x:v>Anel de alto padrão / pingente</x:v>
      </x:c>
      <x:c r="AG64" s="12" t="str">
        <x:v>Anel de alto padrão / pingente</x:v>
      </x:c>
      <x:c r="AH64" s="12" t="str">
        <x:v>Coleção</x:v>
      </x:c>
      <x:c r="AI64" s="12" t="str"/>
      <x:c r="AJ64" s="12" t="str"/>
      <x:c r="AK64" s="12" t="str"/>
      <x:c r="AL64" s="12" t="str"/>
      <x:c r="AM64" s="12" t="str">
        <x:v>Não informado</x:v>
      </x:c>
      <x:c r="AN64" s="12" t="str"/>
      <x:c r="AO64" s="12" t="str">
        <x:v>2026-07-01</x:v>
      </x:c>
      <x:c r="AP64" s="12" t="str">
        <x:v>2026-07-19</x:v>
      </x:c>
      <x:c r="AQ64" s="12" t="str">
        <x:v>Alta</x:v>
      </x:c>
      <x:c r="AR64" s="12" t="str">
        <x:v>Inventário mestre completo atualizado em 2026-07-01</x:v>
      </x:c>
      <x:c r="AS64" s="12" t="str">
        <x:v>Precificação individual pendente</x:v>
      </x:c>
      <x:c r="AT64" s="12" t="str">
        <x:v>Avaliação visual; tratamentos não avaliados; confirmar naturalidade/tratamento em laboratório.</x:v>
      </x:c>
    </x:row>
    <x:row r="65">
      <x:c r="A65" s="12" t="str">
        <x:v>DG-EM-064</x:v>
      </x:c>
      <x:c r="B65" s="12" t="str"/>
      <x:c r="C65" s="12" t="str">
        <x:v>Emerald Collection</x:v>
      </x:c>
      <x:c r="D65" s="12" t="str">
        <x:v>Esmeraldas</x:v>
      </x:c>
      <x:c r="E65" s="12" t="str">
        <x:v>Berilo</x:v>
      </x:c>
      <x:c r="F65" s="12" t="str">
        <x:v>Esmeralda</x:v>
      </x:c>
      <x:c r="G65" s="12" t="str">
        <x:v>Gema individual</x:v>
      </x:c>
      <x:c r="H65" s="18" t="n">
        <x:v>1</x:v>
      </x:c>
      <x:c r="I65" s="12" t="str">
        <x:v>Oval</x:v>
      </x:c>
      <x:c r="J65" s="12" t="str">
        <x:v>9 x 7 x 4</x:v>
      </x:c>
      <x:c r="K65" s="14" t="n">
        <x:v>1.22</x:v>
      </x:c>
      <x:c r="L65" s="12" t="str">
        <x:v>Sim</x:v>
      </x:c>
      <x:c r="M65" s="12" t="str">
        <x:v>Balança / informado</x:v>
      </x:c>
      <x:c r="N65" s="12" t="str">
        <x:v>Verde médio</x:v>
      </x:c>
      <x:c r="O65" s="12" t="str">
        <x:v>Semi-transparente a translúcida</x:v>
      </x:c>
      <x:c r="P65" s="12" t="str"/>
      <x:c r="Q65" s="12" t="str">
        <x:v>Não avaliado / não informado</x:v>
      </x:c>
      <x:c r="R65" s="12" t="str">
        <x:v>Não</x:v>
      </x:c>
      <x:c r="S65" s="12" t="str"/>
      <x:c r="T65" s="12" t="str"/>
      <x:c r="U65" s="20"/>
      <x:c r="V65" s="20"/>
      <x:c r="W65" s="20"/>
      <x:c r="X65" s="20"/>
      <x:c r="Y65" s="20"/>
      <x:c r="Z65" s="20"/>
      <x:c r="AA65" s="20"/>
      <x:c r="AB65" s="12" t="str">
        <x:v>Pendente de precificação individual</x:v>
      </x:c>
      <x:c r="AC65" s="16" t="n">
        <x:v>8.1</x:v>
      </x:c>
      <x:c r="AD65" s="12" t="str">
        <x:v>B+</x:v>
      </x:c>
      <x:c r="AE65" s="12" t="str">
        <x:v>A definir</x:v>
      </x:c>
      <x:c r="AF65" s="12" t="str">
        <x:v>Anel / brinco / pingente</x:v>
      </x:c>
      <x:c r="AG65" s="12" t="str">
        <x:v>Anel / brinco / pingente</x:v>
      </x:c>
      <x:c r="AH65" s="12" t="str">
        <x:v>Coleção</x:v>
      </x:c>
      <x:c r="AI65" s="12" t="str"/>
      <x:c r="AJ65" s="12" t="str"/>
      <x:c r="AK65" s="12" t="str"/>
      <x:c r="AL65" s="12" t="str"/>
      <x:c r="AM65" s="12" t="str">
        <x:v>Não informado</x:v>
      </x:c>
      <x:c r="AN65" s="12" t="str"/>
      <x:c r="AO65" s="12" t="str">
        <x:v>2026-07-01</x:v>
      </x:c>
      <x:c r="AP65" s="12" t="str">
        <x:v>2026-07-19</x:v>
      </x:c>
      <x:c r="AQ65" s="12" t="str">
        <x:v>Alta</x:v>
      </x:c>
      <x:c r="AR65" s="12" t="str">
        <x:v>Inventário mestre completo atualizado em 2026-07-01</x:v>
      </x:c>
      <x:c r="AS65" s="12" t="str">
        <x:v>Precificação individual pendente</x:v>
      </x:c>
      <x:c r="AT65" s="12" t="str">
        <x:v>Avaliação visual; tratamentos não avaliados; confirmar naturalidade/tratamento em laboratório.</x:v>
      </x:c>
    </x:row>
    <x:row r="66">
      <x:c r="A66" s="12" t="str">
        <x:v>DG-EM-065</x:v>
      </x:c>
      <x:c r="B66" s="12" t="str"/>
      <x:c r="C66" s="12" t="str">
        <x:v>Emerald Collection</x:v>
      </x:c>
      <x:c r="D66" s="12" t="str">
        <x:v>Esmeraldas</x:v>
      </x:c>
      <x:c r="E66" s="12" t="str">
        <x:v>Berilo</x:v>
      </x:c>
      <x:c r="F66" s="12" t="str">
        <x:v>Esmeralda</x:v>
      </x:c>
      <x:c r="G66" s="12" t="str">
        <x:v>Gema individual</x:v>
      </x:c>
      <x:c r="H66" s="18" t="n">
        <x:v>1</x:v>
      </x:c>
      <x:c r="I66" s="12" t="str">
        <x:v>Emerald Cut retangular</x:v>
      </x:c>
      <x:c r="J66" s="12" t="str">
        <x:v>9 x 6 x 4</x:v>
      </x:c>
      <x:c r="K66" s="14" t="n">
        <x:v>1.285</x:v>
      </x:c>
      <x:c r="L66" s="12" t="str">
        <x:v>Sim</x:v>
      </x:c>
      <x:c r="M66" s="12" t="str">
        <x:v>Balança / informado</x:v>
      </x:c>
      <x:c r="N66" s="12" t="str">
        <x:v>Verde intenso</x:v>
      </x:c>
      <x:c r="O66" s="12" t="str">
        <x:v>Semi-transparente a translúcida</x:v>
      </x:c>
      <x:c r="P66" s="12" t="str"/>
      <x:c r="Q66" s="12" t="str">
        <x:v>Não avaliado / não informado</x:v>
      </x:c>
      <x:c r="R66" s="12" t="str">
        <x:v>Não</x:v>
      </x:c>
      <x:c r="S66" s="12" t="str"/>
      <x:c r="T66" s="12" t="str"/>
      <x:c r="U66" s="20"/>
      <x:c r="V66" s="20"/>
      <x:c r="W66" s="20"/>
      <x:c r="X66" s="20"/>
      <x:c r="Y66" s="20"/>
      <x:c r="Z66" s="20"/>
      <x:c r="AA66" s="20"/>
      <x:c r="AB66" s="12" t="str">
        <x:v>Pendente de precificação individual</x:v>
      </x:c>
      <x:c r="AC66" s="16" t="n">
        <x:v>8.3</x:v>
      </x:c>
      <x:c r="AD66" s="12" t="str">
        <x:v>A-</x:v>
      </x:c>
      <x:c r="AE66" s="12" t="str">
        <x:v>A definir</x:v>
      </x:c>
      <x:c r="AF66" s="12" t="str">
        <x:v>Anel clássico / pingente</x:v>
      </x:c>
      <x:c r="AG66" s="12" t="str">
        <x:v>Anel clássico / pingente</x:v>
      </x:c>
      <x:c r="AH66" s="12" t="str">
        <x:v>Coleção</x:v>
      </x:c>
      <x:c r="AI66" s="12" t="str"/>
      <x:c r="AJ66" s="12" t="str"/>
      <x:c r="AK66" s="12" t="str"/>
      <x:c r="AL66" s="12" t="str"/>
      <x:c r="AM66" s="12" t="str">
        <x:v>Não informado</x:v>
      </x:c>
      <x:c r="AN66" s="12" t="str"/>
      <x:c r="AO66" s="12" t="str">
        <x:v>2026-07-01</x:v>
      </x:c>
      <x:c r="AP66" s="12" t="str">
        <x:v>2026-07-19</x:v>
      </x:c>
      <x:c r="AQ66" s="12" t="str">
        <x:v>Alta</x:v>
      </x:c>
      <x:c r="AR66" s="12" t="str">
        <x:v>Inventário mestre completo atualizado em 2026-07-01</x:v>
      </x:c>
      <x:c r="AS66" s="12" t="str">
        <x:v>Precificação individual pendente</x:v>
      </x:c>
      <x:c r="AT66" s="12" t="str">
        <x:v>Avaliação visual; tratamentos não avaliados; confirmar naturalidade/tratamento em laboratório.</x:v>
      </x:c>
    </x:row>
    <x:row r="67">
      <x:c r="A67" s="12" t="str">
        <x:v>DG-EM-066</x:v>
      </x:c>
      <x:c r="B67" s="12" t="str"/>
      <x:c r="C67" s="12" t="str">
        <x:v>Emerald Collection</x:v>
      </x:c>
      <x:c r="D67" s="12" t="str">
        <x:v>Esmeraldas</x:v>
      </x:c>
      <x:c r="E67" s="12" t="str">
        <x:v>Berilo</x:v>
      </x:c>
      <x:c r="F67" s="12" t="str">
        <x:v>Esmeralda</x:v>
      </x:c>
      <x:c r="G67" s="12" t="str">
        <x:v>Gema individual</x:v>
      </x:c>
      <x:c r="H67" s="18" t="n">
        <x:v>1</x:v>
      </x:c>
      <x:c r="I67" s="12" t="str">
        <x:v>Emerald Cut retangular</x:v>
      </x:c>
      <x:c r="J67" s="12" t="str">
        <x:v>9 x 6 x 4</x:v>
      </x:c>
      <x:c r="K67" s="14" t="n">
        <x:v>1.405</x:v>
      </x:c>
      <x:c r="L67" s="12" t="str">
        <x:v>Sim</x:v>
      </x:c>
      <x:c r="M67" s="12" t="str">
        <x:v>Balança / informado</x:v>
      </x:c>
      <x:c r="N67" s="12" t="str">
        <x:v>Verde intenso</x:v>
      </x:c>
      <x:c r="O67" s="12" t="str">
        <x:v>Semi-transparente a translúcida</x:v>
      </x:c>
      <x:c r="P67" s="12" t="str"/>
      <x:c r="Q67" s="12" t="str">
        <x:v>Não avaliado / não informado</x:v>
      </x:c>
      <x:c r="R67" s="12" t="str">
        <x:v>Não</x:v>
      </x:c>
      <x:c r="S67" s="12" t="str"/>
      <x:c r="T67" s="12" t="str"/>
      <x:c r="U67" s="20"/>
      <x:c r="V67" s="20"/>
      <x:c r="W67" s="20"/>
      <x:c r="X67" s="20"/>
      <x:c r="Y67" s="20"/>
      <x:c r="Z67" s="20"/>
      <x:c r="AA67" s="20"/>
      <x:c r="AB67" s="12" t="str">
        <x:v>Pendente de precificação individual</x:v>
      </x:c>
      <x:c r="AC67" s="16" t="n">
        <x:v>8.5</x:v>
      </x:c>
      <x:c r="AD67" s="12" t="str">
        <x:v>A</x:v>
      </x:c>
      <x:c r="AE67" s="12" t="str">
        <x:v>A definir</x:v>
      </x:c>
      <x:c r="AF67" s="12" t="str">
        <x:v>Anel solitário / pingente</x:v>
      </x:c>
      <x:c r="AG67" s="12" t="str">
        <x:v>Anel solitário / pingente</x:v>
      </x:c>
      <x:c r="AH67" s="12" t="str">
        <x:v>Coleção</x:v>
      </x:c>
      <x:c r="AI67" s="12" t="str"/>
      <x:c r="AJ67" s="12" t="str"/>
      <x:c r="AK67" s="12" t="str"/>
      <x:c r="AL67" s="12" t="str"/>
      <x:c r="AM67" s="12" t="str">
        <x:v>Não informado</x:v>
      </x:c>
      <x:c r="AN67" s="12" t="str"/>
      <x:c r="AO67" s="12" t="str">
        <x:v>2026-07-01</x:v>
      </x:c>
      <x:c r="AP67" s="12" t="str">
        <x:v>2026-07-19</x:v>
      </x:c>
      <x:c r="AQ67" s="12" t="str">
        <x:v>Alta</x:v>
      </x:c>
      <x:c r="AR67" s="12" t="str">
        <x:v>Inventário mestre completo atualizado em 2026-07-01</x:v>
      </x:c>
      <x:c r="AS67" s="12" t="str">
        <x:v>Precificação individual pendente</x:v>
      </x:c>
      <x:c r="AT67" s="12" t="str">
        <x:v>Avaliação visual; tratamentos não avaliados; confirmar naturalidade/tratamento em laboratório.</x:v>
      </x:c>
    </x:row>
    <x:row r="68">
      <x:c r="A68" s="12" t="str">
        <x:v>DG-EM-067</x:v>
      </x:c>
      <x:c r="B68" s="12" t="str"/>
      <x:c r="C68" s="12" t="str">
        <x:v>Emerald Collection</x:v>
      </x:c>
      <x:c r="D68" s="12" t="str">
        <x:v>Esmeraldas</x:v>
      </x:c>
      <x:c r="E68" s="12" t="str">
        <x:v>Berilo</x:v>
      </x:c>
      <x:c r="F68" s="12" t="str">
        <x:v>Esmeralda</x:v>
      </x:c>
      <x:c r="G68" s="12" t="str">
        <x:v>Gema individual</x:v>
      </x:c>
      <x:c r="H68" s="18" t="n">
        <x:v>1</x:v>
      </x:c>
      <x:c r="I68" s="12" t="str">
        <x:v>Quadrado / Emerald Cut</x:v>
      </x:c>
      <x:c r="J68" s="12" t="str">
        <x:v>7 x 7 x 4</x:v>
      </x:c>
      <x:c r="K68" s="14" t="n">
        <x:v>1.19</x:v>
      </x:c>
      <x:c r="L68" s="12" t="str">
        <x:v>Sim</x:v>
      </x:c>
      <x:c r="M68" s="12" t="str">
        <x:v>Balança / informado</x:v>
      </x:c>
      <x:c r="N68" s="12" t="str">
        <x:v>Verde médio a intenso</x:v>
      </x:c>
      <x:c r="O68" s="12" t="str">
        <x:v>Semi-transparente a translúcida</x:v>
      </x:c>
      <x:c r="P68" s="12" t="str"/>
      <x:c r="Q68" s="12" t="str">
        <x:v>Não avaliado / não informado</x:v>
      </x:c>
      <x:c r="R68" s="12" t="str">
        <x:v>Não</x:v>
      </x:c>
      <x:c r="S68" s="12" t="str"/>
      <x:c r="T68" s="12" t="str"/>
      <x:c r="U68" s="20"/>
      <x:c r="V68" s="20"/>
      <x:c r="W68" s="20"/>
      <x:c r="X68" s="20"/>
      <x:c r="Y68" s="20"/>
      <x:c r="Z68" s="20"/>
      <x:c r="AA68" s="20"/>
      <x:c r="AB68" s="12" t="str">
        <x:v>Pendente de precificação individual</x:v>
      </x:c>
      <x:c r="AC68" s="16" t="n">
        <x:v>8.1</x:v>
      </x:c>
      <x:c r="AD68" s="12" t="str">
        <x:v>B+</x:v>
      </x:c>
      <x:c r="AE68" s="12" t="str">
        <x:v>A definir</x:v>
      </x:c>
      <x:c r="AF68" s="12" t="str">
        <x:v>Anel clássico / joia geométrica</x:v>
      </x:c>
      <x:c r="AG68" s="12" t="str">
        <x:v>Anel clássico / joia geométrica</x:v>
      </x:c>
      <x:c r="AH68" s="12" t="str">
        <x:v>Coleção</x:v>
      </x:c>
      <x:c r="AI68" s="12" t="str"/>
      <x:c r="AJ68" s="12" t="str"/>
      <x:c r="AK68" s="12" t="str"/>
      <x:c r="AL68" s="12" t="str"/>
      <x:c r="AM68" s="12" t="str">
        <x:v>Não informado</x:v>
      </x:c>
      <x:c r="AN68" s="12" t="str"/>
      <x:c r="AO68" s="12" t="str">
        <x:v>2026-07-01</x:v>
      </x:c>
      <x:c r="AP68" s="12" t="str">
        <x:v>2026-07-19</x:v>
      </x:c>
      <x:c r="AQ68" s="12" t="str">
        <x:v>Alta</x:v>
      </x:c>
      <x:c r="AR68" s="12" t="str">
        <x:v>Inventário mestre completo atualizado em 2026-07-01</x:v>
      </x:c>
      <x:c r="AS68" s="12" t="str">
        <x:v>Precificação individual pendente</x:v>
      </x:c>
      <x:c r="AT68" s="12" t="str">
        <x:v>Avaliação visual; tratamentos não avaliados; confirmar naturalidade/tratamento em laboratório.</x:v>
      </x:c>
    </x:row>
    <x:row r="69">
      <x:c r="A69" s="12" t="str">
        <x:v>DG-EM-068</x:v>
      </x:c>
      <x:c r="B69" s="12" t="str"/>
      <x:c r="C69" s="12" t="str">
        <x:v>Emerald Collection</x:v>
      </x:c>
      <x:c r="D69" s="12" t="str">
        <x:v>Esmeraldas</x:v>
      </x:c>
      <x:c r="E69" s="12" t="str">
        <x:v>Berilo</x:v>
      </x:c>
      <x:c r="F69" s="12" t="str">
        <x:v>Esmeralda</x:v>
      </x:c>
      <x:c r="G69" s="12" t="str">
        <x:v>Gema individual</x:v>
      </x:c>
      <x:c r="H69" s="18" t="n">
        <x:v>1</x:v>
      </x:c>
      <x:c r="I69" s="12" t="str">
        <x:v>Redondo brilhante</x:v>
      </x:c>
      <x:c r="J69" s="12" t="str">
        <x:v>8 x 8 x 5</x:v>
      </x:c>
      <x:c r="K69" s="14" t="n">
        <x:v>1.405</x:v>
      </x:c>
      <x:c r="L69" s="12" t="str">
        <x:v>Sim</x:v>
      </x:c>
      <x:c r="M69" s="12" t="str">
        <x:v>Balança / informado</x:v>
      </x:c>
      <x:c r="N69" s="12" t="str">
        <x:v>Verde médio a intenso</x:v>
      </x:c>
      <x:c r="O69" s="12" t="str">
        <x:v>Semi-transparente a translúcida</x:v>
      </x:c>
      <x:c r="P69" s="12" t="str"/>
      <x:c r="Q69" s="12" t="str">
        <x:v>Não avaliado / não informado</x:v>
      </x:c>
      <x:c r="R69" s="12" t="str">
        <x:v>Não</x:v>
      </x:c>
      <x:c r="S69" s="12" t="str"/>
      <x:c r="T69" s="12" t="str"/>
      <x:c r="U69" s="20"/>
      <x:c r="V69" s="20"/>
      <x:c r="W69" s="20"/>
      <x:c r="X69" s="20"/>
      <x:c r="Y69" s="20"/>
      <x:c r="Z69" s="20"/>
      <x:c r="AA69" s="20"/>
      <x:c r="AB69" s="12" t="str">
        <x:v>Pendente de precificação individual</x:v>
      </x:c>
      <x:c r="AC69" s="16" t="n">
        <x:v>8.3</x:v>
      </x:c>
      <x:c r="AD69" s="12" t="str">
        <x:v>A-</x:v>
      </x:c>
      <x:c r="AE69" s="12" t="str">
        <x:v>A definir</x:v>
      </x:c>
      <x:c r="AF69" s="12" t="str">
        <x:v>Anel solitário / pingente</x:v>
      </x:c>
      <x:c r="AG69" s="12" t="str">
        <x:v>Anel solitário / pingente</x:v>
      </x:c>
      <x:c r="AH69" s="12" t="str">
        <x:v>Coleção</x:v>
      </x:c>
      <x:c r="AI69" s="12" t="str"/>
      <x:c r="AJ69" s="12" t="str"/>
      <x:c r="AK69" s="12" t="str"/>
      <x:c r="AL69" s="12" t="str"/>
      <x:c r="AM69" s="12" t="str">
        <x:v>Não informado</x:v>
      </x:c>
      <x:c r="AN69" s="12" t="str"/>
      <x:c r="AO69" s="12" t="str">
        <x:v>2026-07-01</x:v>
      </x:c>
      <x:c r="AP69" s="12" t="str">
        <x:v>2026-07-19</x:v>
      </x:c>
      <x:c r="AQ69" s="12" t="str">
        <x:v>Alta</x:v>
      </x:c>
      <x:c r="AR69" s="12" t="str">
        <x:v>Inventário mestre completo atualizado em 2026-07-01</x:v>
      </x:c>
      <x:c r="AS69" s="12" t="str">
        <x:v>Precificação individual pendente</x:v>
      </x:c>
      <x:c r="AT69" s="12" t="str">
        <x:v>Avaliação visual; tratamentos não avaliados; confirmar naturalidade/tratamento em laboratório.</x:v>
      </x:c>
    </x:row>
    <x:row r="70">
      <x:c r="A70" s="12" t="str">
        <x:v>DG-EM-069</x:v>
      </x:c>
      <x:c r="B70" s="12" t="str"/>
      <x:c r="C70" s="12" t="str">
        <x:v>Emerald Collection</x:v>
      </x:c>
      <x:c r="D70" s="12" t="str">
        <x:v>Esmeraldas</x:v>
      </x:c>
      <x:c r="E70" s="12" t="str">
        <x:v>Berilo</x:v>
      </x:c>
      <x:c r="F70" s="12" t="str">
        <x:v>Esmeralda</x:v>
      </x:c>
      <x:c r="G70" s="12" t="str">
        <x:v>Gema individual</x:v>
      </x:c>
      <x:c r="H70" s="18" t="n">
        <x:v>1</x:v>
      </x:c>
      <x:c r="I70" s="12" t="str">
        <x:v>Oval</x:v>
      </x:c>
      <x:c r="J70" s="12" t="str">
        <x:v>9 x 8 x 4</x:v>
      </x:c>
      <x:c r="K70" s="14" t="n">
        <x:v>1.545</x:v>
      </x:c>
      <x:c r="L70" s="12" t="str">
        <x:v>Sim</x:v>
      </x:c>
      <x:c r="M70" s="12" t="str">
        <x:v>Balança / informado</x:v>
      </x:c>
      <x:c r="N70" s="12" t="str">
        <x:v>Verde médio a intenso</x:v>
      </x:c>
      <x:c r="O70" s="12" t="str">
        <x:v>Semi-transparente a translúcida</x:v>
      </x:c>
      <x:c r="P70" s="12" t="str"/>
      <x:c r="Q70" s="12" t="str">
        <x:v>Não avaliado / não informado</x:v>
      </x:c>
      <x:c r="R70" s="12" t="str">
        <x:v>Não</x:v>
      </x:c>
      <x:c r="S70" s="12" t="str"/>
      <x:c r="T70" s="12" t="str"/>
      <x:c r="U70" s="20"/>
      <x:c r="V70" s="20"/>
      <x:c r="W70" s="20"/>
      <x:c r="X70" s="20"/>
      <x:c r="Y70" s="20"/>
      <x:c r="Z70" s="20"/>
      <x:c r="AA70" s="20"/>
      <x:c r="AB70" s="12" t="str">
        <x:v>Pendente de precificação individual</x:v>
      </x:c>
      <x:c r="AC70" s="16" t="n">
        <x:v>8.3</x:v>
      </x:c>
      <x:c r="AD70" s="12" t="str">
        <x:v>A-</x:v>
      </x:c>
      <x:c r="AE70" s="12" t="str">
        <x:v>A definir</x:v>
      </x:c>
      <x:c r="AF70" s="12" t="str">
        <x:v>Anel / pingente / brincos</x:v>
      </x:c>
      <x:c r="AG70" s="12" t="str">
        <x:v>Anel / pingente / brincos</x:v>
      </x:c>
      <x:c r="AH70" s="12" t="str">
        <x:v>Coleção</x:v>
      </x:c>
      <x:c r="AI70" s="12" t="str"/>
      <x:c r="AJ70" s="12" t="str"/>
      <x:c r="AK70" s="12" t="str"/>
      <x:c r="AL70" s="12" t="str"/>
      <x:c r="AM70" s="12" t="str">
        <x:v>Não informado</x:v>
      </x:c>
      <x:c r="AN70" s="12" t="str"/>
      <x:c r="AO70" s="12" t="str">
        <x:v>2026-07-01</x:v>
      </x:c>
      <x:c r="AP70" s="12" t="str">
        <x:v>2026-07-19</x:v>
      </x:c>
      <x:c r="AQ70" s="12" t="str">
        <x:v>Alta</x:v>
      </x:c>
      <x:c r="AR70" s="12" t="str">
        <x:v>Inventário mestre completo atualizado em 2026-07-01</x:v>
      </x:c>
      <x:c r="AS70" s="12" t="str">
        <x:v>Precificação individual pendente</x:v>
      </x:c>
      <x:c r="AT70" s="12" t="str">
        <x:v>Avaliação visual; tratamentos não avaliados; confirmar naturalidade/tratamento em laboratório.</x:v>
      </x:c>
    </x:row>
    <x:row r="71">
      <x:c r="A71" s="12" t="str">
        <x:v>DG-EM-070</x:v>
      </x:c>
      <x:c r="B71" s="12" t="str"/>
      <x:c r="C71" s="12" t="str">
        <x:v>Emerald Collection</x:v>
      </x:c>
      <x:c r="D71" s="12" t="str">
        <x:v>Esmeraldas</x:v>
      </x:c>
      <x:c r="E71" s="12" t="str">
        <x:v>Berilo</x:v>
      </x:c>
      <x:c r="F71" s="12" t="str">
        <x:v>Esmeralda</x:v>
      </x:c>
      <x:c r="G71" s="12" t="str">
        <x:v>Gema individual</x:v>
      </x:c>
      <x:c r="H71" s="18" t="n">
        <x:v>1</x:v>
      </x:c>
      <x:c r="I71" s="12" t="str">
        <x:v>Triangular / Trillion</x:v>
      </x:c>
      <x:c r="J71" s="12" t="str">
        <x:v>10 x 7 x 3</x:v>
      </x:c>
      <x:c r="K71" s="14" t="n">
        <x:v>0.875</x:v>
      </x:c>
      <x:c r="L71" s="12" t="str">
        <x:v>Sim</x:v>
      </x:c>
      <x:c r="M71" s="12" t="str">
        <x:v>Balança / informado</x:v>
      </x:c>
      <x:c r="N71" s="12" t="str">
        <x:v>Verde médio a intenso</x:v>
      </x:c>
      <x:c r="O71" s="12" t="str">
        <x:v>Semi-transparente a translúcida</x:v>
      </x:c>
      <x:c r="P71" s="12" t="str"/>
      <x:c r="Q71" s="12" t="str">
        <x:v>Não avaliado / não informado</x:v>
      </x:c>
      <x:c r="R71" s="12" t="str">
        <x:v>Não</x:v>
      </x:c>
      <x:c r="S71" s="12" t="str"/>
      <x:c r="T71" s="12" t="str"/>
      <x:c r="U71" s="20"/>
      <x:c r="V71" s="20"/>
      <x:c r="W71" s="20"/>
      <x:c r="X71" s="20"/>
      <x:c r="Y71" s="20"/>
      <x:c r="Z71" s="20"/>
      <x:c r="AA71" s="20"/>
      <x:c r="AB71" s="12" t="str">
        <x:v>Pendente de precificação individual</x:v>
      </x:c>
      <x:c r="AC71" s="16" t="n">
        <x:v>8</x:v>
      </x:c>
      <x:c r="AD71" s="12" t="str">
        <x:v>B+</x:v>
      </x:c>
      <x:c r="AE71" s="12" t="str">
        <x:v>A definir</x:v>
      </x:c>
      <x:c r="AF71" s="12" t="str">
        <x:v>Brincos / pingente contemporâneo</x:v>
      </x:c>
      <x:c r="AG71" s="12" t="str">
        <x:v>Brincos / pingente contemporâneo</x:v>
      </x:c>
      <x:c r="AH71" s="12" t="str">
        <x:v>Coleção</x:v>
      </x:c>
      <x:c r="AI71" s="12" t="str"/>
      <x:c r="AJ71" s="12" t="str"/>
      <x:c r="AK71" s="12" t="str"/>
      <x:c r="AL71" s="12" t="str"/>
      <x:c r="AM71" s="12" t="str">
        <x:v>Não informado</x:v>
      </x:c>
      <x:c r="AN71" s="12" t="str"/>
      <x:c r="AO71" s="12" t="str">
        <x:v>2026-07-01</x:v>
      </x:c>
      <x:c r="AP71" s="12" t="str">
        <x:v>2026-07-19</x:v>
      </x:c>
      <x:c r="AQ71" s="12" t="str">
        <x:v>Alta</x:v>
      </x:c>
      <x:c r="AR71" s="12" t="str">
        <x:v>Inventário mestre completo atualizado em 2026-07-01</x:v>
      </x:c>
      <x:c r="AS71" s="12" t="str">
        <x:v>Precificação individual pendente</x:v>
      </x:c>
      <x:c r="AT71" s="12" t="str">
        <x:v>Avaliação visual; tratamentos não avaliados; confirmar naturalidade/tratamento em laboratório.</x:v>
      </x:c>
    </x:row>
    <x:row r="72">
      <x:c r="A72" s="12" t="str">
        <x:v>DG-EM-071</x:v>
      </x:c>
      <x:c r="B72" s="12" t="str"/>
      <x:c r="C72" s="12" t="str">
        <x:v>Emerald Collection</x:v>
      </x:c>
      <x:c r="D72" s="12" t="str">
        <x:v>Esmeraldas</x:v>
      </x:c>
      <x:c r="E72" s="12" t="str">
        <x:v>Berilo</x:v>
      </x:c>
      <x:c r="F72" s="12" t="str">
        <x:v>Esmeralda</x:v>
      </x:c>
      <x:c r="G72" s="12" t="str">
        <x:v>Gema individual</x:v>
      </x:c>
      <x:c r="H72" s="18" t="n">
        <x:v>1</x:v>
      </x:c>
      <x:c r="I72" s="12" t="str">
        <x:v>Oval</x:v>
      </x:c>
      <x:c r="J72" s="12" t="str">
        <x:v>8 x 6 x 4</x:v>
      </x:c>
      <x:c r="K72" s="14" t="n">
        <x:v>1</x:v>
      </x:c>
      <x:c r="L72" s="12" t="str">
        <x:v>Sim</x:v>
      </x:c>
      <x:c r="M72" s="12" t="str">
        <x:v>Balança / informado</x:v>
      </x:c>
      <x:c r="N72" s="12" t="str">
        <x:v>Verde médio a intenso</x:v>
      </x:c>
      <x:c r="O72" s="12" t="str">
        <x:v>Semi-transparente a translúcida</x:v>
      </x:c>
      <x:c r="P72" s="12" t="str"/>
      <x:c r="Q72" s="12" t="str">
        <x:v>Não avaliado / não informado</x:v>
      </x:c>
      <x:c r="R72" s="12" t="str">
        <x:v>Não</x:v>
      </x:c>
      <x:c r="S72" s="12" t="str"/>
      <x:c r="T72" s="12" t="str"/>
      <x:c r="U72" s="20"/>
      <x:c r="V72" s="20"/>
      <x:c r="W72" s="20"/>
      <x:c r="X72" s="20"/>
      <x:c r="Y72" s="20"/>
      <x:c r="Z72" s="20"/>
      <x:c r="AA72" s="20"/>
      <x:c r="AB72" s="12" t="str">
        <x:v>Pendente de precificação individual</x:v>
      </x:c>
      <x:c r="AC72" s="16" t="n">
        <x:v>8</x:v>
      </x:c>
      <x:c r="AD72" s="12" t="str">
        <x:v>B+</x:v>
      </x:c>
      <x:c r="AE72" s="12" t="str">
        <x:v>A definir</x:v>
      </x:c>
      <x:c r="AF72" s="12" t="str">
        <x:v>Anel / brincos / pingente</x:v>
      </x:c>
      <x:c r="AG72" s="12" t="str">
        <x:v>Anel / brincos / pingente</x:v>
      </x:c>
      <x:c r="AH72" s="12" t="str">
        <x:v>Coleção</x:v>
      </x:c>
      <x:c r="AI72" s="12" t="str"/>
      <x:c r="AJ72" s="12" t="str"/>
      <x:c r="AK72" s="12" t="str"/>
      <x:c r="AL72" s="12" t="str"/>
      <x:c r="AM72" s="12" t="str">
        <x:v>Não informado</x:v>
      </x:c>
      <x:c r="AN72" s="12" t="str"/>
      <x:c r="AO72" s="12" t="str">
        <x:v>2026-07-01</x:v>
      </x:c>
      <x:c r="AP72" s="12" t="str">
        <x:v>2026-07-19</x:v>
      </x:c>
      <x:c r="AQ72" s="12" t="str">
        <x:v>Alta</x:v>
      </x:c>
      <x:c r="AR72" s="12" t="str">
        <x:v>Inventário mestre completo atualizado em 2026-07-01</x:v>
      </x:c>
      <x:c r="AS72" s="12" t="str">
        <x:v>Precificação individual pendente</x:v>
      </x:c>
      <x:c r="AT72" s="12" t="str">
        <x:v>Avaliação visual; tratamentos não avaliados; confirmar naturalidade/tratamento em laboratório.</x:v>
      </x:c>
    </x:row>
    <x:row r="73">
      <x:c r="A73" s="12" t="str">
        <x:v>DG-EM-072</x:v>
      </x:c>
      <x:c r="B73" s="12" t="str"/>
      <x:c r="C73" s="12" t="str">
        <x:v>Emerald Collection</x:v>
      </x:c>
      <x:c r="D73" s="12" t="str">
        <x:v>Esmeraldas</x:v>
      </x:c>
      <x:c r="E73" s="12" t="str">
        <x:v>Berilo</x:v>
      </x:c>
      <x:c r="F73" s="12" t="str">
        <x:v>Esmeralda</x:v>
      </x:c>
      <x:c r="G73" s="12" t="str">
        <x:v>Gema individual</x:v>
      </x:c>
      <x:c r="H73" s="18" t="n">
        <x:v>1</x:v>
      </x:c>
      <x:c r="I73" s="12" t="str">
        <x:v>Quadrado octogonal</x:v>
      </x:c>
      <x:c r="J73" s="12" t="str">
        <x:v>7 x 7 x 5</x:v>
      </x:c>
      <x:c r="K73" s="14" t="n">
        <x:v>1.58</x:v>
      </x:c>
      <x:c r="L73" s="12" t="str">
        <x:v>Sim</x:v>
      </x:c>
      <x:c r="M73" s="12" t="str">
        <x:v>Balança / informado</x:v>
      </x:c>
      <x:c r="N73" s="12" t="str">
        <x:v>Verde médio azulado</x:v>
      </x:c>
      <x:c r="O73" s="12" t="str">
        <x:v>Semi-transparente a translúcida</x:v>
      </x:c>
      <x:c r="P73" s="12" t="str"/>
      <x:c r="Q73" s="12" t="str">
        <x:v>Não avaliado / não informado</x:v>
      </x:c>
      <x:c r="R73" s="12" t="str">
        <x:v>Não</x:v>
      </x:c>
      <x:c r="S73" s="12" t="str"/>
      <x:c r="T73" s="12" t="str"/>
      <x:c r="U73" s="20"/>
      <x:c r="V73" s="20"/>
      <x:c r="W73" s="20"/>
      <x:c r="X73" s="20"/>
      <x:c r="Y73" s="20"/>
      <x:c r="Z73" s="20"/>
      <x:c r="AA73" s="20"/>
      <x:c r="AB73" s="12" t="str">
        <x:v>Pendente de precificação individual</x:v>
      </x:c>
      <x:c r="AC73" s="16" t="n">
        <x:v>8.3</x:v>
      </x:c>
      <x:c r="AD73" s="12" t="str">
        <x:v>A-</x:v>
      </x:c>
      <x:c r="AE73" s="12" t="str">
        <x:v>A definir</x:v>
      </x:c>
      <x:c r="AF73" s="12" t="str">
        <x:v>Anel solitário geométrico</x:v>
      </x:c>
      <x:c r="AG73" s="12" t="str">
        <x:v>Anel solitário geométrico</x:v>
      </x:c>
      <x:c r="AH73" s="12" t="str">
        <x:v>Coleção</x:v>
      </x:c>
      <x:c r="AI73" s="12" t="str"/>
      <x:c r="AJ73" s="12" t="str"/>
      <x:c r="AK73" s="12" t="str"/>
      <x:c r="AL73" s="12" t="str"/>
      <x:c r="AM73" s="12" t="str">
        <x:v>Não informado</x:v>
      </x:c>
      <x:c r="AN73" s="12" t="str"/>
      <x:c r="AO73" s="12" t="str">
        <x:v>2026-07-01</x:v>
      </x:c>
      <x:c r="AP73" s="12" t="str">
        <x:v>2026-07-19</x:v>
      </x:c>
      <x:c r="AQ73" s="12" t="str">
        <x:v>Alta</x:v>
      </x:c>
      <x:c r="AR73" s="12" t="str">
        <x:v>Inventário mestre completo atualizado em 2026-07-01</x:v>
      </x:c>
      <x:c r="AS73" s="12" t="str">
        <x:v>Precificação individual pendente</x:v>
      </x:c>
      <x:c r="AT73" s="12" t="str">
        <x:v>Avaliação visual; tratamentos não avaliados; confirmar naturalidade/tratamento em laboratório.</x:v>
      </x:c>
    </x:row>
    <x:row r="74">
      <x:c r="A74" s="12" t="str">
        <x:v>DG-EM-073</x:v>
      </x:c>
      <x:c r="B74" s="12" t="str"/>
      <x:c r="C74" s="12" t="str">
        <x:v>Emerald Collection</x:v>
      </x:c>
      <x:c r="D74" s="12" t="str">
        <x:v>Esmeraldas</x:v>
      </x:c>
      <x:c r="E74" s="12" t="str">
        <x:v>Berilo</x:v>
      </x:c>
      <x:c r="F74" s="12" t="str">
        <x:v>Esmeralda</x:v>
      </x:c>
      <x:c r="G74" s="12" t="str">
        <x:v>Gema individual</x:v>
      </x:c>
      <x:c r="H74" s="18" t="n">
        <x:v>1</x:v>
      </x:c>
      <x:c r="I74" s="12" t="str">
        <x:v>Emerald Cut retangular</x:v>
      </x:c>
      <x:c r="J74" s="12" t="str">
        <x:v>9 x 6 x 5</x:v>
      </x:c>
      <x:c r="K74" s="14" t="n">
        <x:v>1.59</x:v>
      </x:c>
      <x:c r="L74" s="12" t="str">
        <x:v>Sim</x:v>
      </x:c>
      <x:c r="M74" s="12" t="str">
        <x:v>Balança / informado</x:v>
      </x:c>
      <x:c r="N74" s="12" t="str">
        <x:v>Verde intenso</x:v>
      </x:c>
      <x:c r="O74" s="12" t="str">
        <x:v>Semi-transparente a translúcida</x:v>
      </x:c>
      <x:c r="P74" s="12" t="str"/>
      <x:c r="Q74" s="12" t="str">
        <x:v>Não avaliado / não informado</x:v>
      </x:c>
      <x:c r="R74" s="12" t="str">
        <x:v>Não</x:v>
      </x:c>
      <x:c r="S74" s="12" t="str"/>
      <x:c r="T74" s="12" t="str"/>
      <x:c r="U74" s="20"/>
      <x:c r="V74" s="20"/>
      <x:c r="W74" s="20"/>
      <x:c r="X74" s="20"/>
      <x:c r="Y74" s="20"/>
      <x:c r="Z74" s="20"/>
      <x:c r="AA74" s="20"/>
      <x:c r="AB74" s="12" t="str">
        <x:v>Pendente de precificação individual</x:v>
      </x:c>
      <x:c r="AC74" s="16" t="n">
        <x:v>8.4</x:v>
      </x:c>
      <x:c r="AD74" s="12" t="str">
        <x:v>A-</x:v>
      </x:c>
      <x:c r="AE74" s="12" t="str">
        <x:v>A definir</x:v>
      </x:c>
      <x:c r="AF74" s="12" t="str">
        <x:v>Anel clássico / pingente</x:v>
      </x:c>
      <x:c r="AG74" s="12" t="str">
        <x:v>Anel clássico / pingente</x:v>
      </x:c>
      <x:c r="AH74" s="12" t="str">
        <x:v>Coleção</x:v>
      </x:c>
      <x:c r="AI74" s="12" t="str"/>
      <x:c r="AJ74" s="12" t="str"/>
      <x:c r="AK74" s="12" t="str"/>
      <x:c r="AL74" s="12" t="str"/>
      <x:c r="AM74" s="12" t="str">
        <x:v>Não informado</x:v>
      </x:c>
      <x:c r="AN74" s="12" t="str"/>
      <x:c r="AO74" s="12" t="str">
        <x:v>2026-07-01</x:v>
      </x:c>
      <x:c r="AP74" s="12" t="str">
        <x:v>2026-07-19</x:v>
      </x:c>
      <x:c r="AQ74" s="12" t="str">
        <x:v>Alta</x:v>
      </x:c>
      <x:c r="AR74" s="12" t="str">
        <x:v>Inventário mestre completo atualizado em 2026-07-01</x:v>
      </x:c>
      <x:c r="AS74" s="12" t="str">
        <x:v>Precificação individual pendente</x:v>
      </x:c>
      <x:c r="AT74" s="12" t="str">
        <x:v>Avaliação visual; tratamentos não avaliados; confirmar naturalidade/tratamento em laboratório.</x:v>
      </x:c>
    </x:row>
    <x:row r="75">
      <x:c r="A75" s="12" t="str">
        <x:v>DG-EM-074</x:v>
      </x:c>
      <x:c r="B75" s="12" t="str"/>
      <x:c r="C75" s="12" t="str">
        <x:v>Emerald Collection</x:v>
      </x:c>
      <x:c r="D75" s="12" t="str">
        <x:v>Esmeraldas</x:v>
      </x:c>
      <x:c r="E75" s="12" t="str">
        <x:v>Berilo</x:v>
      </x:c>
      <x:c r="F75" s="12" t="str">
        <x:v>Esmeralda</x:v>
      </x:c>
      <x:c r="G75" s="12" t="str">
        <x:v>Gema individual</x:v>
      </x:c>
      <x:c r="H75" s="18" t="n">
        <x:v>1</x:v>
      </x:c>
      <x:c r="I75" s="12" t="str">
        <x:v>Quadrado octogonal</x:v>
      </x:c>
      <x:c r="J75" s="12" t="str">
        <x:v>7 x 7 x 4</x:v>
      </x:c>
      <x:c r="K75" s="14" t="n">
        <x:v>1.235</x:v>
      </x:c>
      <x:c r="L75" s="12" t="str">
        <x:v>Sim</x:v>
      </x:c>
      <x:c r="M75" s="12" t="str">
        <x:v>Balança / informado</x:v>
      </x:c>
      <x:c r="N75" s="12" t="str">
        <x:v>Verde médio azulado</x:v>
      </x:c>
      <x:c r="O75" s="12" t="str">
        <x:v>Semi-transparente a translúcida</x:v>
      </x:c>
      <x:c r="P75" s="12" t="str"/>
      <x:c r="Q75" s="12" t="str">
        <x:v>Não avaliado / não informado</x:v>
      </x:c>
      <x:c r="R75" s="12" t="str">
        <x:v>Não</x:v>
      </x:c>
      <x:c r="S75" s="12" t="str"/>
      <x:c r="T75" s="12" t="str"/>
      <x:c r="U75" s="20"/>
      <x:c r="V75" s="20"/>
      <x:c r="W75" s="20"/>
      <x:c r="X75" s="20"/>
      <x:c r="Y75" s="20"/>
      <x:c r="Z75" s="20"/>
      <x:c r="AA75" s="20"/>
      <x:c r="AB75" s="12" t="str">
        <x:v>Pendente de precificação individual</x:v>
      </x:c>
      <x:c r="AC75" s="16" t="n">
        <x:v>8.1</x:v>
      </x:c>
      <x:c r="AD75" s="12" t="str">
        <x:v>B+</x:v>
      </x:c>
      <x:c r="AE75" s="12" t="str">
        <x:v>A definir</x:v>
      </x:c>
      <x:c r="AF75" s="12" t="str">
        <x:v>Anel clássico / brincos</x:v>
      </x:c>
      <x:c r="AG75" s="12" t="str">
        <x:v>Anel clássico / brincos</x:v>
      </x:c>
      <x:c r="AH75" s="12" t="str">
        <x:v>Coleção</x:v>
      </x:c>
      <x:c r="AI75" s="12" t="str"/>
      <x:c r="AJ75" s="12" t="str"/>
      <x:c r="AK75" s="12" t="str"/>
      <x:c r="AL75" s="12" t="str"/>
      <x:c r="AM75" s="12" t="str">
        <x:v>Não informado</x:v>
      </x:c>
      <x:c r="AN75" s="12" t="str"/>
      <x:c r="AO75" s="12" t="str">
        <x:v>2026-07-01</x:v>
      </x:c>
      <x:c r="AP75" s="12" t="str">
        <x:v>2026-07-19</x:v>
      </x:c>
      <x:c r="AQ75" s="12" t="str">
        <x:v>Alta</x:v>
      </x:c>
      <x:c r="AR75" s="12" t="str">
        <x:v>Inventário mestre completo atualizado em 2026-07-01</x:v>
      </x:c>
      <x:c r="AS75" s="12" t="str">
        <x:v>Precificação individual pendente</x:v>
      </x:c>
      <x:c r="AT75" s="12" t="str">
        <x:v>Avaliação visual; tratamentos não avaliados; confirmar naturalidade/tratamento em laboratório.</x:v>
      </x:c>
    </x:row>
    <x:row r="76">
      <x:c r="A76" s="12" t="str">
        <x:v>DG-EM-075</x:v>
      </x:c>
      <x:c r="B76" s="12" t="str"/>
      <x:c r="C76" s="12" t="str">
        <x:v>Emerald Collection</x:v>
      </x:c>
      <x:c r="D76" s="12" t="str">
        <x:v>Esmeraldas</x:v>
      </x:c>
      <x:c r="E76" s="12" t="str">
        <x:v>Berilo</x:v>
      </x:c>
      <x:c r="F76" s="12" t="str">
        <x:v>Esmeralda</x:v>
      </x:c>
      <x:c r="G76" s="12" t="str">
        <x:v>Gema individual</x:v>
      </x:c>
      <x:c r="H76" s="18" t="n">
        <x:v>1</x:v>
      </x:c>
      <x:c r="I76" s="12" t="str">
        <x:v>Quadrado octogonal</x:v>
      </x:c>
      <x:c r="J76" s="12" t="str">
        <x:v>7 x 7 x 4</x:v>
      </x:c>
      <x:c r="K76" s="14" t="n">
        <x:v>1.065</x:v>
      </x:c>
      <x:c r="L76" s="12" t="str">
        <x:v>Sim</x:v>
      </x:c>
      <x:c r="M76" s="12" t="str">
        <x:v>Balança / informado</x:v>
      </x:c>
      <x:c r="N76" s="12" t="str">
        <x:v>Verde médio azulado</x:v>
      </x:c>
      <x:c r="O76" s="12" t="str">
        <x:v>Semi-transparente a translúcida</x:v>
      </x:c>
      <x:c r="P76" s="12" t="str"/>
      <x:c r="Q76" s="12" t="str">
        <x:v>Não avaliado / não informado</x:v>
      </x:c>
      <x:c r="R76" s="12" t="str">
        <x:v>Não</x:v>
      </x:c>
      <x:c r="S76" s="12" t="str"/>
      <x:c r="T76" s="12" t="str"/>
      <x:c r="U76" s="20"/>
      <x:c r="V76" s="20"/>
      <x:c r="W76" s="20"/>
      <x:c r="X76" s="20"/>
      <x:c r="Y76" s="20"/>
      <x:c r="Z76" s="20"/>
      <x:c r="AA76" s="20"/>
      <x:c r="AB76" s="12" t="str">
        <x:v>Pendente de precificação individual</x:v>
      </x:c>
      <x:c r="AC76" s="16" t="n">
        <x:v>8</x:v>
      </x:c>
      <x:c r="AD76" s="12" t="str">
        <x:v>B+</x:v>
      </x:c>
      <x:c r="AE76" s="12" t="str">
        <x:v>A definir</x:v>
      </x:c>
      <x:c r="AF76" s="12" t="str">
        <x:v>Anel delicado / brincos</x:v>
      </x:c>
      <x:c r="AG76" s="12" t="str">
        <x:v>Anel delicado / brincos</x:v>
      </x:c>
      <x:c r="AH76" s="12" t="str">
        <x:v>Coleção</x:v>
      </x:c>
      <x:c r="AI76" s="12" t="str"/>
      <x:c r="AJ76" s="12" t="str"/>
      <x:c r="AK76" s="12" t="str"/>
      <x:c r="AL76" s="12" t="str"/>
      <x:c r="AM76" s="12" t="str">
        <x:v>Não informado</x:v>
      </x:c>
      <x:c r="AN76" s="12" t="str"/>
      <x:c r="AO76" s="12" t="str">
        <x:v>2026-07-01</x:v>
      </x:c>
      <x:c r="AP76" s="12" t="str">
        <x:v>2026-07-19</x:v>
      </x:c>
      <x:c r="AQ76" s="12" t="str">
        <x:v>Alta</x:v>
      </x:c>
      <x:c r="AR76" s="12" t="str">
        <x:v>Inventário mestre completo atualizado em 2026-07-01</x:v>
      </x:c>
      <x:c r="AS76" s="12" t="str">
        <x:v>Precificação individual pendente</x:v>
      </x:c>
      <x:c r="AT76" s="12" t="str">
        <x:v>Avaliação visual; tratamentos não avaliados; confirmar naturalidade/tratamento em laboratório.</x:v>
      </x:c>
    </x:row>
    <x:row r="77">
      <x:c r="A77" s="12" t="str">
        <x:v>DG-EM-076</x:v>
      </x:c>
      <x:c r="B77" s="12" t="str"/>
      <x:c r="C77" s="12" t="str">
        <x:v>Emerald Collection</x:v>
      </x:c>
      <x:c r="D77" s="12" t="str">
        <x:v>Esmeraldas</x:v>
      </x:c>
      <x:c r="E77" s="12" t="str">
        <x:v>Berilo</x:v>
      </x:c>
      <x:c r="F77" s="12" t="str">
        <x:v>Esmeralda</x:v>
      </x:c>
      <x:c r="G77" s="12" t="str">
        <x:v>Gema individual</x:v>
      </x:c>
      <x:c r="H77" s="18" t="n">
        <x:v>1</x:v>
      </x:c>
      <x:c r="I77" s="12" t="str">
        <x:v>Redondo brilhante</x:v>
      </x:c>
      <x:c r="J77" s="12" t="str">
        <x:v>6.5 x 6.5 x 4</x:v>
      </x:c>
      <x:c r="K77" s="14" t="n">
        <x:v>0.92</x:v>
      </x:c>
      <x:c r="L77" s="12" t="str">
        <x:v>Sim</x:v>
      </x:c>
      <x:c r="M77" s="12" t="str">
        <x:v>Balança / informado</x:v>
      </x:c>
      <x:c r="N77" s="12" t="str">
        <x:v>Verde médio a intenso</x:v>
      </x:c>
      <x:c r="O77" s="12" t="str">
        <x:v>Semi-transparente a translúcida</x:v>
      </x:c>
      <x:c r="P77" s="12" t="str"/>
      <x:c r="Q77" s="12" t="str">
        <x:v>Não avaliado / não informado</x:v>
      </x:c>
      <x:c r="R77" s="12" t="str">
        <x:v>Não</x:v>
      </x:c>
      <x:c r="S77" s="12" t="str"/>
      <x:c r="T77" s="12" t="str"/>
      <x:c r="U77" s="20"/>
      <x:c r="V77" s="20"/>
      <x:c r="W77" s="20"/>
      <x:c r="X77" s="20"/>
      <x:c r="Y77" s="20"/>
      <x:c r="Z77" s="20"/>
      <x:c r="AA77" s="20"/>
      <x:c r="AB77" s="12" t="str">
        <x:v>Pendente de precificação individual</x:v>
      </x:c>
      <x:c r="AC77" s="16" t="n">
        <x:v>8.1</x:v>
      </x:c>
      <x:c r="AD77" s="12" t="str">
        <x:v>B+</x:v>
      </x:c>
      <x:c r="AE77" s="12" t="str">
        <x:v>A definir</x:v>
      </x:c>
      <x:c r="AF77" s="12" t="str">
        <x:v>Anel delicado / pingente / brinco</x:v>
      </x:c>
      <x:c r="AG77" s="12" t="str">
        <x:v>Anel delicado / pingente / brinco</x:v>
      </x:c>
      <x:c r="AH77" s="12" t="str">
        <x:v>Coleção</x:v>
      </x:c>
      <x:c r="AI77" s="12" t="str"/>
      <x:c r="AJ77" s="12" t="str"/>
      <x:c r="AK77" s="12" t="str"/>
      <x:c r="AL77" s="12" t="str"/>
      <x:c r="AM77" s="12" t="str">
        <x:v>Não informado</x:v>
      </x:c>
      <x:c r="AN77" s="12" t="str"/>
      <x:c r="AO77" s="12" t="str">
        <x:v>2026-07-01</x:v>
      </x:c>
      <x:c r="AP77" s="12" t="str">
        <x:v>2026-07-19</x:v>
      </x:c>
      <x:c r="AQ77" s="12" t="str">
        <x:v>Alta</x:v>
      </x:c>
      <x:c r="AR77" s="12" t="str">
        <x:v>Inventário mestre completo atualizado em 2026-07-01</x:v>
      </x:c>
      <x:c r="AS77" s="12" t="str">
        <x:v>Precificação individual pendente</x:v>
      </x:c>
      <x:c r="AT77" s="12" t="str">
        <x:v>Avaliação visual; tratamentos não avaliados; confirmar naturalidade/tratamento em laboratório.</x:v>
      </x:c>
    </x:row>
    <x:row r="78">
      <x:c r="A78" s="12" t="str">
        <x:v>DG-EM-077</x:v>
      </x:c>
      <x:c r="B78" s="12" t="str"/>
      <x:c r="C78" s="12" t="str">
        <x:v>Emerald Collection</x:v>
      </x:c>
      <x:c r="D78" s="12" t="str">
        <x:v>Esmeraldas</x:v>
      </x:c>
      <x:c r="E78" s="12" t="str">
        <x:v>Berilo</x:v>
      </x:c>
      <x:c r="F78" s="12" t="str">
        <x:v>Esmeralda</x:v>
      </x:c>
      <x:c r="G78" s="12" t="str">
        <x:v>Gema individual</x:v>
      </x:c>
      <x:c r="H78" s="18" t="n">
        <x:v>1</x:v>
      </x:c>
      <x:c r="I78" s="12" t="str">
        <x:v>Redondo brilhante</x:v>
      </x:c>
      <x:c r="J78" s="12" t="str">
        <x:v>6 x 6 x 3</x:v>
      </x:c>
      <x:c r="K78" s="14" t="n">
        <x:v>0.585</x:v>
      </x:c>
      <x:c r="L78" s="12" t="str">
        <x:v>Sim</x:v>
      </x:c>
      <x:c r="M78" s="12" t="str">
        <x:v>Balança / informado</x:v>
      </x:c>
      <x:c r="N78" s="12" t="str">
        <x:v>Verde médio a intenso</x:v>
      </x:c>
      <x:c r="O78" s="12" t="str">
        <x:v>Semi-transparente a translúcida</x:v>
      </x:c>
      <x:c r="P78" s="12" t="str"/>
      <x:c r="Q78" s="12" t="str">
        <x:v>Não avaliado / não informado</x:v>
      </x:c>
      <x:c r="R78" s="12" t="str">
        <x:v>Não</x:v>
      </x:c>
      <x:c r="S78" s="12" t="str"/>
      <x:c r="T78" s="12" t="str"/>
      <x:c r="U78" s="20"/>
      <x:c r="V78" s="20"/>
      <x:c r="W78" s="20"/>
      <x:c r="X78" s="20"/>
      <x:c r="Y78" s="20"/>
      <x:c r="Z78" s="20"/>
      <x:c r="AA78" s="20"/>
      <x:c r="AB78" s="12" t="str">
        <x:v>Pendente de precificação individual</x:v>
      </x:c>
      <x:c r="AC78" s="16" t="n">
        <x:v>7.8</x:v>
      </x:c>
      <x:c r="AD78" s="12" t="str">
        <x:v>B</x:v>
      </x:c>
      <x:c r="AE78" s="12" t="str">
        <x:v>A definir</x:v>
      </x:c>
      <x:c r="AF78" s="12" t="str">
        <x:v>Brincos / pingente pequeno</x:v>
      </x:c>
      <x:c r="AG78" s="12" t="str">
        <x:v>Brincos / pingente pequeno</x:v>
      </x:c>
      <x:c r="AH78" s="12" t="str">
        <x:v>Coleção</x:v>
      </x:c>
      <x:c r="AI78" s="12" t="str"/>
      <x:c r="AJ78" s="12" t="str"/>
      <x:c r="AK78" s="12" t="str"/>
      <x:c r="AL78" s="12" t="str"/>
      <x:c r="AM78" s="12" t="str">
        <x:v>Não informado</x:v>
      </x:c>
      <x:c r="AN78" s="12" t="str"/>
      <x:c r="AO78" s="12" t="str">
        <x:v>2026-07-01</x:v>
      </x:c>
      <x:c r="AP78" s="12" t="str">
        <x:v>2026-07-19</x:v>
      </x:c>
      <x:c r="AQ78" s="12" t="str">
        <x:v>Alta</x:v>
      </x:c>
      <x:c r="AR78" s="12" t="str">
        <x:v>Inventário mestre completo atualizado em 2026-07-01</x:v>
      </x:c>
      <x:c r="AS78" s="12" t="str">
        <x:v>Precificação individual pendente</x:v>
      </x:c>
      <x:c r="AT78" s="12" t="str">
        <x:v>Avaliação visual; tratamentos não avaliados; confirmar naturalidade/tratamento em laboratório.</x:v>
      </x:c>
    </x:row>
    <x:row r="79">
      <x:c r="A79" s="12" t="str">
        <x:v>DG-EM-078</x:v>
      </x:c>
      <x:c r="B79" s="12" t="str"/>
      <x:c r="C79" s="12" t="str">
        <x:v>Emerald Collection</x:v>
      </x:c>
      <x:c r="D79" s="12" t="str">
        <x:v>Esmeraldas</x:v>
      </x:c>
      <x:c r="E79" s="12" t="str">
        <x:v>Berilo</x:v>
      </x:c>
      <x:c r="F79" s="12" t="str">
        <x:v>Esmeralda</x:v>
      </x:c>
      <x:c r="G79" s="12" t="str">
        <x:v>Gema individual</x:v>
      </x:c>
      <x:c r="H79" s="18" t="n">
        <x:v>1</x:v>
      </x:c>
      <x:c r="I79" s="12" t="str">
        <x:v>Redondo brilhante</x:v>
      </x:c>
      <x:c r="J79" s="12" t="str">
        <x:v>7 x 7 x 5</x:v>
      </x:c>
      <x:c r="K79" s="14" t="n">
        <x:v>1.19</x:v>
      </x:c>
      <x:c r="L79" s="12" t="str">
        <x:v>Sim</x:v>
      </x:c>
      <x:c r="M79" s="12" t="str">
        <x:v>Balança / informado</x:v>
      </x:c>
      <x:c r="N79" s="12" t="str">
        <x:v>Verde vivo</x:v>
      </x:c>
      <x:c r="O79" s="12" t="str">
        <x:v>Semi-transparente a translúcida</x:v>
      </x:c>
      <x:c r="P79" s="12" t="str"/>
      <x:c r="Q79" s="12" t="str">
        <x:v>Não avaliado / não informado</x:v>
      </x:c>
      <x:c r="R79" s="12" t="str">
        <x:v>Não</x:v>
      </x:c>
      <x:c r="S79" s="12" t="str"/>
      <x:c r="T79" s="12" t="str"/>
      <x:c r="U79" s="20"/>
      <x:c r="V79" s="20"/>
      <x:c r="W79" s="20"/>
      <x:c r="X79" s="20"/>
      <x:c r="Y79" s="20"/>
      <x:c r="Z79" s="20"/>
      <x:c r="AA79" s="20"/>
      <x:c r="AB79" s="12" t="str">
        <x:v>Pendente de precificação individual</x:v>
      </x:c>
      <x:c r="AC79" s="16" t="n">
        <x:v>8.1</x:v>
      </x:c>
      <x:c r="AD79" s="12" t="str">
        <x:v>B+</x:v>
      </x:c>
      <x:c r="AE79" s="12" t="str">
        <x:v>A definir</x:v>
      </x:c>
      <x:c r="AF79" s="12" t="str">
        <x:v>Anel solitário delicado / pingente</x:v>
      </x:c>
      <x:c r="AG79" s="12" t="str">
        <x:v>Anel solitário delicado / pingente</x:v>
      </x:c>
      <x:c r="AH79" s="12" t="str">
        <x:v>Coleção</x:v>
      </x:c>
      <x:c r="AI79" s="12" t="str"/>
      <x:c r="AJ79" s="12" t="str"/>
      <x:c r="AK79" s="12" t="str"/>
      <x:c r="AL79" s="12" t="str"/>
      <x:c r="AM79" s="12" t="str">
        <x:v>Não informado</x:v>
      </x:c>
      <x:c r="AN79" s="12" t="str"/>
      <x:c r="AO79" s="12" t="str">
        <x:v>2026-07-01</x:v>
      </x:c>
      <x:c r="AP79" s="12" t="str">
        <x:v>2026-07-19</x:v>
      </x:c>
      <x:c r="AQ79" s="12" t="str">
        <x:v>Alta</x:v>
      </x:c>
      <x:c r="AR79" s="12" t="str">
        <x:v>Inventário mestre completo atualizado em 2026-07-01</x:v>
      </x:c>
      <x:c r="AS79" s="12" t="str">
        <x:v>Precificação individual pendente</x:v>
      </x:c>
      <x:c r="AT79" s="12" t="str">
        <x:v>Avaliação visual; tratamentos não avaliados; confirmar naturalidade/tratamento em laboratório.</x:v>
      </x:c>
    </x:row>
    <x:row r="80">
      <x:c r="A80" s="12" t="str">
        <x:v>DG-EM-079</x:v>
      </x:c>
      <x:c r="B80" s="12" t="str"/>
      <x:c r="C80" s="12" t="str">
        <x:v>Emerald Collection</x:v>
      </x:c>
      <x:c r="D80" s="12" t="str">
        <x:v>Esmeraldas</x:v>
      </x:c>
      <x:c r="E80" s="12" t="str">
        <x:v>Berilo</x:v>
      </x:c>
      <x:c r="F80" s="12" t="str">
        <x:v>Esmeralda</x:v>
      </x:c>
      <x:c r="G80" s="12" t="str">
        <x:v>Gema individual</x:v>
      </x:c>
      <x:c r="H80" s="18" t="n">
        <x:v>1</x:v>
      </x:c>
      <x:c r="I80" s="12" t="str">
        <x:v>Redondo brilhante</x:v>
      </x:c>
      <x:c r="J80" s="12" t="str">
        <x:v>6 x 6 x 3</x:v>
      </x:c>
      <x:c r="K80" s="14" t="n">
        <x:v>0.585</x:v>
      </x:c>
      <x:c r="L80" s="12" t="str">
        <x:v>Sim</x:v>
      </x:c>
      <x:c r="M80" s="12" t="str">
        <x:v>Balança / informado</x:v>
      </x:c>
      <x:c r="N80" s="12" t="str">
        <x:v>Verde médio amarelado</x:v>
      </x:c>
      <x:c r="O80" s="12" t="str">
        <x:v>Semi-transparente a translúcida</x:v>
      </x:c>
      <x:c r="P80" s="12" t="str"/>
      <x:c r="Q80" s="12" t="str">
        <x:v>Não avaliado / não informado</x:v>
      </x:c>
      <x:c r="R80" s="12" t="str">
        <x:v>Não</x:v>
      </x:c>
      <x:c r="S80" s="12" t="str"/>
      <x:c r="T80" s="12" t="str"/>
      <x:c r="U80" s="20"/>
      <x:c r="V80" s="20"/>
      <x:c r="W80" s="20"/>
      <x:c r="X80" s="20"/>
      <x:c r="Y80" s="20"/>
      <x:c r="Z80" s="20"/>
      <x:c r="AA80" s="20"/>
      <x:c r="AB80" s="12" t="str">
        <x:v>Pendente de precificação individual</x:v>
      </x:c>
      <x:c r="AC80" s="16" t="n">
        <x:v>7.8</x:v>
      </x:c>
      <x:c r="AD80" s="12" t="str">
        <x:v>B</x:v>
      </x:c>
      <x:c r="AE80" s="12" t="str">
        <x:v>A definir</x:v>
      </x:c>
      <x:c r="AF80" s="12" t="str">
        <x:v>Brinco / pingente minimalista</x:v>
      </x:c>
      <x:c r="AG80" s="12" t="str">
        <x:v>Brinco / pingente minimalista</x:v>
      </x:c>
      <x:c r="AH80" s="12" t="str">
        <x:v>Coleção</x:v>
      </x:c>
      <x:c r="AI80" s="12" t="str"/>
      <x:c r="AJ80" s="12" t="str"/>
      <x:c r="AK80" s="12" t="str"/>
      <x:c r="AL80" s="12" t="str"/>
      <x:c r="AM80" s="12" t="str">
        <x:v>Não informado</x:v>
      </x:c>
      <x:c r="AN80" s="12" t="str"/>
      <x:c r="AO80" s="12" t="str">
        <x:v>2026-07-01</x:v>
      </x:c>
      <x:c r="AP80" s="12" t="str">
        <x:v>2026-07-19</x:v>
      </x:c>
      <x:c r="AQ80" s="12" t="str">
        <x:v>Alta</x:v>
      </x:c>
      <x:c r="AR80" s="12" t="str">
        <x:v>Inventário mestre completo atualizado em 2026-07-01</x:v>
      </x:c>
      <x:c r="AS80" s="12" t="str">
        <x:v>Precificação individual pendente</x:v>
      </x:c>
      <x:c r="AT80" s="12" t="str">
        <x:v>Avaliação visual; tratamentos não avaliados; confirmar naturalidade/tratamento em laboratório.</x:v>
      </x:c>
    </x:row>
    <x:row r="81">
      <x:c r="A81" s="12" t="str">
        <x:v>DG-EM-080</x:v>
      </x:c>
      <x:c r="B81" s="12" t="str"/>
      <x:c r="C81" s="12" t="str">
        <x:v>Emerald Collection</x:v>
      </x:c>
      <x:c r="D81" s="12" t="str">
        <x:v>Esmeraldas</x:v>
      </x:c>
      <x:c r="E81" s="12" t="str">
        <x:v>Berilo</x:v>
      </x:c>
      <x:c r="F81" s="12" t="str">
        <x:v>Esmeralda</x:v>
      </x:c>
      <x:c r="G81" s="12" t="str">
        <x:v>Gema individual</x:v>
      </x:c>
      <x:c r="H81" s="18" t="n">
        <x:v>1</x:v>
      </x:c>
      <x:c r="I81" s="12" t="str">
        <x:v>Redondo brilhante</x:v>
      </x:c>
      <x:c r="J81" s="12" t="str">
        <x:v>6 x 6 x 3</x:v>
      </x:c>
      <x:c r="K81" s="14" t="n">
        <x:v>0.66</x:v>
      </x:c>
      <x:c r="L81" s="12" t="str">
        <x:v>Sim</x:v>
      </x:c>
      <x:c r="M81" s="12" t="str">
        <x:v>Balança / informado</x:v>
      </x:c>
      <x:c r="N81" s="12" t="str">
        <x:v>Verde médio</x:v>
      </x:c>
      <x:c r="O81" s="12" t="str">
        <x:v>Semi-transparente a translúcida</x:v>
      </x:c>
      <x:c r="P81" s="12" t="str"/>
      <x:c r="Q81" s="12" t="str">
        <x:v>Não avaliado / não informado</x:v>
      </x:c>
      <x:c r="R81" s="12" t="str">
        <x:v>Não</x:v>
      </x:c>
      <x:c r="S81" s="12" t="str"/>
      <x:c r="T81" s="12" t="str"/>
      <x:c r="U81" s="20"/>
      <x:c r="V81" s="20"/>
      <x:c r="W81" s="20"/>
      <x:c r="X81" s="20"/>
      <x:c r="Y81" s="20"/>
      <x:c r="Z81" s="20"/>
      <x:c r="AA81" s="20"/>
      <x:c r="AB81" s="12" t="str">
        <x:v>Pendente de precificação individual</x:v>
      </x:c>
      <x:c r="AC81" s="16" t="n">
        <x:v>7.9</x:v>
      </x:c>
      <x:c r="AD81" s="12" t="str">
        <x:v>B</x:v>
      </x:c>
      <x:c r="AE81" s="12" t="str">
        <x:v>A definir</x:v>
      </x:c>
      <x:c r="AF81" s="12" t="str">
        <x:v>Brinco / pingente minimalista</x:v>
      </x:c>
      <x:c r="AG81" s="12" t="str">
        <x:v>Brinco / pingente minimalista</x:v>
      </x:c>
      <x:c r="AH81" s="12" t="str">
        <x:v>Coleção</x:v>
      </x:c>
      <x:c r="AI81" s="12" t="str"/>
      <x:c r="AJ81" s="12" t="str"/>
      <x:c r="AK81" s="12" t="str"/>
      <x:c r="AL81" s="12" t="str"/>
      <x:c r="AM81" s="12" t="str">
        <x:v>Não informado</x:v>
      </x:c>
      <x:c r="AN81" s="12" t="str"/>
      <x:c r="AO81" s="12" t="str">
        <x:v>2026-07-01</x:v>
      </x:c>
      <x:c r="AP81" s="12" t="str">
        <x:v>2026-07-19</x:v>
      </x:c>
      <x:c r="AQ81" s="12" t="str">
        <x:v>Alta</x:v>
      </x:c>
      <x:c r="AR81" s="12" t="str">
        <x:v>Inventário mestre completo atualizado em 2026-07-01</x:v>
      </x:c>
      <x:c r="AS81" s="12" t="str">
        <x:v>Precificação individual pendente</x:v>
      </x:c>
      <x:c r="AT81" s="12" t="str">
        <x:v>Avaliação visual; tratamentos não avaliados; confirmar naturalidade/tratamento em laboratório.</x:v>
      </x:c>
    </x:row>
    <x:row r="82">
      <x:c r="A82" s="12" t="str">
        <x:v>DG-EM-081</x:v>
      </x:c>
      <x:c r="B82" s="12" t="str"/>
      <x:c r="C82" s="12" t="str">
        <x:v>Emerald Collection</x:v>
      </x:c>
      <x:c r="D82" s="12" t="str">
        <x:v>Esmeraldas</x:v>
      </x:c>
      <x:c r="E82" s="12" t="str">
        <x:v>Berilo</x:v>
      </x:c>
      <x:c r="F82" s="12" t="str">
        <x:v>Esmeralda</x:v>
      </x:c>
      <x:c r="G82" s="12" t="str">
        <x:v>Gema individual</x:v>
      </x:c>
      <x:c r="H82" s="18" t="n">
        <x:v>1</x:v>
      </x:c>
      <x:c r="I82" s="12" t="str">
        <x:v>Redondo brilhante</x:v>
      </x:c>
      <x:c r="J82" s="12" t="str">
        <x:v>5 x 5 x 4</x:v>
      </x:c>
      <x:c r="K82" s="14" t="n">
        <x:v>0.545</x:v>
      </x:c>
      <x:c r="L82" s="12" t="str">
        <x:v>Sim</x:v>
      </x:c>
      <x:c r="M82" s="12" t="str">
        <x:v>Balança / informado</x:v>
      </x:c>
      <x:c r="N82" s="12" t="str">
        <x:v>Verde médio a intenso</x:v>
      </x:c>
      <x:c r="O82" s="12" t="str">
        <x:v>Semi-transparente a translúcida</x:v>
      </x:c>
      <x:c r="P82" s="12" t="str"/>
      <x:c r="Q82" s="12" t="str">
        <x:v>Não avaliado / não informado</x:v>
      </x:c>
      <x:c r="R82" s="12" t="str">
        <x:v>Não</x:v>
      </x:c>
      <x:c r="S82" s="12" t="str"/>
      <x:c r="T82" s="12" t="str"/>
      <x:c r="U82" s="20"/>
      <x:c r="V82" s="20"/>
      <x:c r="W82" s="20"/>
      <x:c r="X82" s="20"/>
      <x:c r="Y82" s="20"/>
      <x:c r="Z82" s="20"/>
      <x:c r="AA82" s="20"/>
      <x:c r="AB82" s="12" t="str">
        <x:v>Pendente de precificação individual</x:v>
      </x:c>
      <x:c r="AC82" s="16" t="n">
        <x:v>8</x:v>
      </x:c>
      <x:c r="AD82" s="12" t="str">
        <x:v>B</x:v>
      </x:c>
      <x:c r="AE82" s="12" t="str">
        <x:v>A definir</x:v>
      </x:c>
      <x:c r="AF82" s="12" t="str">
        <x:v>Anel delicado / pingente pequeno / brinco</x:v>
      </x:c>
      <x:c r="AG82" s="12" t="str">
        <x:v>Anel delicado / pingente pequeno / brinco</x:v>
      </x:c>
      <x:c r="AH82" s="12" t="str">
        <x:v>Coleção</x:v>
      </x:c>
      <x:c r="AI82" s="12" t="str"/>
      <x:c r="AJ82" s="12" t="str"/>
      <x:c r="AK82" s="12" t="str"/>
      <x:c r="AL82" s="12" t="str"/>
      <x:c r="AM82" s="12" t="str">
        <x:v>Não informado</x:v>
      </x:c>
      <x:c r="AN82" s="12" t="str"/>
      <x:c r="AO82" s="12" t="str">
        <x:v>2026-07-01</x:v>
      </x:c>
      <x:c r="AP82" s="12" t="str">
        <x:v>2026-07-19</x:v>
      </x:c>
      <x:c r="AQ82" s="12" t="str">
        <x:v>Alta</x:v>
      </x:c>
      <x:c r="AR82" s="12" t="str">
        <x:v>Inventário mestre completo atualizado em 2026-07-01</x:v>
      </x:c>
      <x:c r="AS82" s="12" t="str">
        <x:v>Precificação individual pendente</x:v>
      </x:c>
      <x:c r="AT82" s="12" t="str">
        <x:v>Avaliação visual; tratamentos não avaliados; confirmar naturalidade/tratamento em laboratório.</x:v>
      </x:c>
    </x:row>
    <x:row r="83">
      <x:c r="A83" s="12" t="str">
        <x:v>DG-EM-082</x:v>
      </x:c>
      <x:c r="B83" s="12" t="str"/>
      <x:c r="C83" s="12" t="str">
        <x:v>Emerald Collection</x:v>
      </x:c>
      <x:c r="D83" s="12" t="str">
        <x:v>Esmeraldas</x:v>
      </x:c>
      <x:c r="E83" s="12" t="str">
        <x:v>Berilo</x:v>
      </x:c>
      <x:c r="F83" s="12" t="str">
        <x:v>Esmeralda</x:v>
      </x:c>
      <x:c r="G83" s="12" t="str">
        <x:v>Lote</x:v>
      </x:c>
      <x:c r="H83" s="18"/>
      <x:c r="I83" s="12" t="str">
        <x:v>Cabochões e lapidações mistas</x:v>
      </x:c>
      <x:c r="J83" s="12" t="str">
        <x:v>Diversas</x:v>
      </x:c>
      <x:c r="K83" s="14" t="n">
        <x:v>20.96</x:v>
      </x:c>
      <x:c r="L83" s="12" t="str">
        <x:v>Sim</x:v>
      </x:c>
      <x:c r="M83" s="12" t="str">
        <x:v>Balança / informado</x:v>
      </x:c>
      <x:c r="N83" s="12" t="str">
        <x:v>Verdes variados</x:v>
      </x:c>
      <x:c r="O83" s="12" t="str">
        <x:v>Semi-transparente a translúcida</x:v>
      </x:c>
      <x:c r="P83" s="12" t="str"/>
      <x:c r="Q83" s="12" t="str">
        <x:v>Não avaliado / não informado</x:v>
      </x:c>
      <x:c r="R83" s="12" t="str">
        <x:v>Não</x:v>
      </x:c>
      <x:c r="S83" s="12" t="str"/>
      <x:c r="T83" s="12" t="str"/>
      <x:c r="U83" s="20"/>
      <x:c r="V83" s="20"/>
      <x:c r="W83" s="20"/>
      <x:c r="X83" s="20"/>
      <x:c r="Y83" s="20"/>
      <x:c r="Z83" s="20"/>
      <x:c r="AA83" s="20"/>
      <x:c r="AB83" s="12" t="str">
        <x:v>Pendente de precificação individual</x:v>
      </x:c>
      <x:c r="AC83" s="16" t="n">
        <x:v>7</x:v>
      </x:c>
      <x:c r="AD83" s="12" t="str">
        <x:v>Lote Comercial</x:v>
      </x:c>
      <x:c r="AE83" s="12" t="str">
        <x:v>A definir</x:v>
      </x:c>
      <x:c r="AF83" s="12" t="str">
        <x:v>Produção de joias em prata / linha acessível</x:v>
      </x:c>
      <x:c r="AG83" s="12" t="str">
        <x:v>Produção de joias em prata / linha acessível</x:v>
      </x:c>
      <x:c r="AH83" s="12" t="str">
        <x:v>Estoque para produção</x:v>
      </x:c>
      <x:c r="AI83" s="12" t="str"/>
      <x:c r="AJ83" s="12" t="str"/>
      <x:c r="AK83" s="12" t="str"/>
      <x:c r="AL83" s="12" t="str"/>
      <x:c r="AM83" s="12" t="str">
        <x:v>Não informado</x:v>
      </x:c>
      <x:c r="AN83" s="12" t="str"/>
      <x:c r="AO83" s="12" t="str">
        <x:v>2026-07-01</x:v>
      </x:c>
      <x:c r="AP83" s="12" t="str">
        <x:v>2026-07-19</x:v>
      </x:c>
      <x:c r="AQ83" s="12" t="str">
        <x:v>Alta</x:v>
      </x:c>
      <x:c r="AR83" s="12" t="str">
        <x:v>Inventário mestre completo atualizado em 2026-07-01</x:v>
      </x:c>
      <x:c r="AS83" s="12" t="str">
        <x:v>Precificação individual pendente</x:v>
      </x:c>
      <x:c r="AT83" s="12" t="str">
        <x:v>Avaliação visual; tratamentos não avaliados; confirmar naturalidade/tratamento em laboratório. Lote único de 20,960 ct para joias em prata/linha acessível; futuras peças devem ser registradas como DG-J-xxx.</x:v>
      </x:c>
    </x:row>
    <x:row r="84">
      <x:c r="A84" s="12" t="str">
        <x:v>DG-PB-0004</x:v>
      </x:c>
      <x:c r="B84" s="12" t="str"/>
      <x:c r="C84" s="12" t="str">
        <x:v>Paraíba Collection</x:v>
      </x:c>
      <x:c r="D84" s="12" t="str">
        <x:v>Turmalinas</x:v>
      </x:c>
      <x:c r="E84" s="12" t="str">
        <x:v>Elbaíta</x:v>
      </x:c>
      <x:c r="F84" s="12" t="str">
        <x:v>Turmalina Paraíba</x:v>
      </x:c>
      <x:c r="G84" s="12" t="str">
        <x:v>Gema individual</x:v>
      </x:c>
      <x:c r="H84" s="18" t="n">
        <x:v>1</x:v>
      </x:c>
      <x:c r="I84" s="12" t="str">
        <x:v>Oval</x:v>
      </x:c>
      <x:c r="J84" s="12" t="str">
        <x:v>4.65 x 3.51</x:v>
      </x:c>
      <x:c r="K84" s="14" t="n">
        <x:v>0.24</x:v>
      </x:c>
      <x:c r="L84" s="12" t="str">
        <x:v>Sim</x:v>
      </x:c>
      <x:c r="M84" s="12" t="str">
        <x:v>Fornecedor</x:v>
      </x:c>
      <x:c r="N84" s="12" t="str">
        <x:v>Azul Piscina Intenso</x:v>
      </x:c>
      <x:c r="O84" s="12" t="str">
        <x:v>Transparente a translúcida</x:v>
      </x:c>
      <x:c r="P84" s="12" t="str">
        <x:v>Brasil</x:v>
      </x:c>
      <x:c r="Q84" s="12" t="str">
        <x:v>Não avaliado / não informado</x:v>
      </x:c>
      <x:c r="R84" s="12" t="str">
        <x:v>Não</x:v>
      </x:c>
      <x:c r="S84" s="12" t="str"/>
      <x:c r="T84" s="12" t="str"/>
      <x:c r="U84" s="20" t="n">
        <x:v>1090</x:v>
      </x:c>
      <x:c r="V84" s="20"/>
      <x:c r="W84" s="20"/>
      <x:c r="X84" s="20"/>
      <x:c r="Y84" s="20"/>
      <x:c r="Z84" s="20"/>
      <x:c r="AA84" s="20"/>
      <x:c r="AB84" s="12" t="str">
        <x:v>Pendente de precificação individual</x:v>
      </x:c>
      <x:c r="AC84" s="16" t="n">
        <x:v>8</x:v>
      </x:c>
      <x:c r="AD84" s="12" t="str">
        <x:v>A-</x:v>
      </x:c>
      <x:c r="AE84" s="12" t="str">
        <x:v>Média</x:v>
      </x:c>
      <x:c r="AF84" s="12" t="str">
        <x:v>Anel delicado / brinco / pingente</x:v>
      </x:c>
      <x:c r="AG84" s="12" t="str">
        <x:v>Anel delicado / brinco / pingente</x:v>
      </x:c>
      <x:c r="AH84" s="12" t="str">
        <x:v>Coleção</x:v>
      </x:c>
      <x:c r="AI84" s="12" t="str"/>
      <x:c r="AJ84" s="12" t="str"/>
      <x:c r="AK84" s="12" t="str"/>
      <x:c r="AL84" s="12" t="str"/>
      <x:c r="AM84" s="12" t="str">
        <x:v>Não informado</x:v>
      </x:c>
      <x:c r="AN84" s="12" t="str"/>
      <x:c r="AO84" s="12" t="str">
        <x:v>2026-07-01</x:v>
      </x:c>
      <x:c r="AP84" s="12" t="str">
        <x:v>2026-07-19</x:v>
      </x:c>
      <x:c r="AQ84" s="12" t="str">
        <x:v>Alta</x:v>
      </x:c>
      <x:c r="AR84" s="12" t="str">
        <x:v>Inventário mestre completo atualizado em 2026-07-01</x:v>
      </x:c>
      <x:c r="AS84" s="12" t="str">
        <x:v>Avaliar certificação; Precificação individual pendente</x:v>
      </x:c>
      <x:c r="AT84" s="12" t="str">
        <x:v>Peso/medidas informados pelo fornecedor.</x:v>
      </x:c>
    </x:row>
    <x:row r="85">
      <x:c r="A85" s="12" t="str">
        <x:v>DG-PB-0005</x:v>
      </x:c>
      <x:c r="B85" s="12" t="str"/>
      <x:c r="C85" s="12" t="str">
        <x:v>Paraíba Collection</x:v>
      </x:c>
      <x:c r="D85" s="12" t="str">
        <x:v>Turmalinas</x:v>
      </x:c>
      <x:c r="E85" s="12" t="str">
        <x:v>Elbaíta</x:v>
      </x:c>
      <x:c r="F85" s="12" t="str">
        <x:v>Turmalina Paraíba</x:v>
      </x:c>
      <x:c r="G85" s="12" t="str">
        <x:v>Gema individual</x:v>
      </x:c>
      <x:c r="H85" s="18" t="n">
        <x:v>1</x:v>
      </x:c>
      <x:c r="I85" s="12" t="str">
        <x:v>Retangular</x:v>
      </x:c>
      <x:c r="J85" s="12" t="str">
        <x:v>2.70 x 2.35</x:v>
      </x:c>
      <x:c r="K85" s="14" t="n">
        <x:v>0.09</x:v>
      </x:c>
      <x:c r="L85" s="12" t="str">
        <x:v>Sim</x:v>
      </x:c>
      <x:c r="M85" s="12" t="str">
        <x:v>Fornecedor</x:v>
      </x:c>
      <x:c r="N85" s="12" t="str">
        <x:v>Azul Neon</x:v>
      </x:c>
      <x:c r="O85" s="12" t="str">
        <x:v>Transparente a translúcida</x:v>
      </x:c>
      <x:c r="P85" s="12" t="str">
        <x:v>Brasil</x:v>
      </x:c>
      <x:c r="Q85" s="12" t="str">
        <x:v>Não avaliado / não informado</x:v>
      </x:c>
      <x:c r="R85" s="12" t="str">
        <x:v>Não</x:v>
      </x:c>
      <x:c r="S85" s="12" t="str"/>
      <x:c r="T85" s="12" t="str"/>
      <x:c r="U85" s="20" t="n">
        <x:v>550</x:v>
      </x:c>
      <x:c r="V85" s="20"/>
      <x:c r="W85" s="20"/>
      <x:c r="X85" s="20"/>
      <x:c r="Y85" s="20"/>
      <x:c r="Z85" s="20"/>
      <x:c r="AA85" s="20"/>
      <x:c r="AB85" s="12" t="str">
        <x:v>Pendente de precificação individual</x:v>
      </x:c>
      <x:c r="AC85" s="16" t="n">
        <x:v>8</x:v>
      </x:c>
      <x:c r="AD85" s="12" t="str">
        <x:v>A-</x:v>
      </x:c>
      <x:c r="AE85" s="12" t="str">
        <x:v>Média</x:v>
      </x:c>
      <x:c r="AF85" s="12" t="str">
        <x:v>Halo / composição geométrica</x:v>
      </x:c>
      <x:c r="AG85" s="12" t="str">
        <x:v>Halo / composição geométrica</x:v>
      </x:c>
      <x:c r="AH85" s="12" t="str">
        <x:v>Coleção</x:v>
      </x:c>
      <x:c r="AI85" s="12" t="str"/>
      <x:c r="AJ85" s="12" t="str"/>
      <x:c r="AK85" s="12" t="str"/>
      <x:c r="AL85" s="12" t="str"/>
      <x:c r="AM85" s="12" t="str">
        <x:v>Não informado</x:v>
      </x:c>
      <x:c r="AN85" s="12" t="str"/>
      <x:c r="AO85" s="12" t="str">
        <x:v>2026-07-01</x:v>
      </x:c>
      <x:c r="AP85" s="12" t="str">
        <x:v>2026-07-19</x:v>
      </x:c>
      <x:c r="AQ85" s="12" t="str">
        <x:v>Alta</x:v>
      </x:c>
      <x:c r="AR85" s="12" t="str">
        <x:v>Inventário mestre completo atualizado em 2026-07-01</x:v>
      </x:c>
      <x:c r="AS85" s="12" t="str">
        <x:v>Avaliar certificação; Precificação individual pendente</x:v>
      </x:c>
      <x:c r="AT85" s="12" t="str">
        <x:v>Peso/medidas informados pelo fornecedor.</x:v>
      </x:c>
    </x:row>
    <x:row r="86">
      <x:c r="A86" s="12" t="str">
        <x:v>DG-PB-0006</x:v>
      </x:c>
      <x:c r="B86" s="12" t="str"/>
      <x:c r="C86" s="12" t="str">
        <x:v>Paraíba Collection</x:v>
      </x:c>
      <x:c r="D86" s="12" t="str">
        <x:v>Turmalinas</x:v>
      </x:c>
      <x:c r="E86" s="12" t="str">
        <x:v>Elbaíta</x:v>
      </x:c>
      <x:c r="F86" s="12" t="str">
        <x:v>Turmalina Paraíba</x:v>
      </x:c>
      <x:c r="G86" s="12" t="str">
        <x:v>Gema individual</x:v>
      </x:c>
      <x:c r="H86" s="18" t="n">
        <x:v>1</x:v>
      </x:c>
      <x:c r="I86" s="12" t="str">
        <x:v>Gota</x:v>
      </x:c>
      <x:c r="J86" s="12" t="str">
        <x:v>4.25 x 3.08</x:v>
      </x:c>
      <x:c r="K86" s="14" t="n">
        <x:v>0.19</x:v>
      </x:c>
      <x:c r="L86" s="12" t="str">
        <x:v>Sim</x:v>
      </x:c>
      <x:c r="M86" s="12" t="str">
        <x:v>Fornecedor</x:v>
      </x:c>
      <x:c r="N86" s="12" t="str">
        <x:v>Azul Intenso Neon</x:v>
      </x:c>
      <x:c r="O86" s="12" t="str">
        <x:v>Transparente a translúcida</x:v>
      </x:c>
      <x:c r="P86" s="12" t="str">
        <x:v>Brasil</x:v>
      </x:c>
      <x:c r="Q86" s="12" t="str">
        <x:v>Não avaliado / não informado</x:v>
      </x:c>
      <x:c r="R86" s="12" t="str">
        <x:v>Não</x:v>
      </x:c>
      <x:c r="S86" s="12" t="str"/>
      <x:c r="T86" s="12" t="str"/>
      <x:c r="U86" s="20" t="n">
        <x:v>1235</x:v>
      </x:c>
      <x:c r="V86" s="20"/>
      <x:c r="W86" s="20"/>
      <x:c r="X86" s="20"/>
      <x:c r="Y86" s="20"/>
      <x:c r="Z86" s="20"/>
      <x:c r="AA86" s="20"/>
      <x:c r="AB86" s="12" t="str">
        <x:v>Pendente de precificação individual</x:v>
      </x:c>
      <x:c r="AC86" s="16" t="n">
        <x:v>8.2</x:v>
      </x:c>
      <x:c r="AD86" s="12" t="str">
        <x:v>A</x:v>
      </x:c>
      <x:c r="AE86" s="12" t="str">
        <x:v>Média</x:v>
      </x:c>
      <x:c r="AF86" s="12" t="str">
        <x:v>Pingente / anel delicado</x:v>
      </x:c>
      <x:c r="AG86" s="12" t="str">
        <x:v>Pingente / anel delicado</x:v>
      </x:c>
      <x:c r="AH86" s="12" t="str">
        <x:v>Coleção</x:v>
      </x:c>
      <x:c r="AI86" s="12" t="str"/>
      <x:c r="AJ86" s="12" t="str"/>
      <x:c r="AK86" s="12" t="str"/>
      <x:c r="AL86" s="12" t="str"/>
      <x:c r="AM86" s="12" t="str">
        <x:v>Não informado</x:v>
      </x:c>
      <x:c r="AN86" s="12" t="str"/>
      <x:c r="AO86" s="12" t="str">
        <x:v>2026-07-01</x:v>
      </x:c>
      <x:c r="AP86" s="12" t="str">
        <x:v>2026-07-19</x:v>
      </x:c>
      <x:c r="AQ86" s="12" t="str">
        <x:v>Alta</x:v>
      </x:c>
      <x:c r="AR86" s="12" t="str">
        <x:v>Inventário mestre completo atualizado em 2026-07-01</x:v>
      </x:c>
      <x:c r="AS86" s="12" t="str">
        <x:v>Avaliar certificação; Precificação individual pendente</x:v>
      </x:c>
      <x:c r="AT86" s="12" t="str">
        <x:v>Peso/medidas informados pelo fornecedor.</x:v>
      </x:c>
    </x:row>
    <x:row r="87">
      <x:c r="A87" s="12" t="str">
        <x:v>DG-PB-0007</x:v>
      </x:c>
      <x:c r="B87" s="12" t="str"/>
      <x:c r="C87" s="12" t="str">
        <x:v>Paraíba Collection</x:v>
      </x:c>
      <x:c r="D87" s="12" t="str">
        <x:v>Turmalinas</x:v>
      </x:c>
      <x:c r="E87" s="12" t="str">
        <x:v>Elbaíta</x:v>
      </x:c>
      <x:c r="F87" s="12" t="str">
        <x:v>Turmalina Paraíba</x:v>
      </x:c>
      <x:c r="G87" s="12" t="str">
        <x:v>Gema individual</x:v>
      </x:c>
      <x:c r="H87" s="18" t="n">
        <x:v>1</x:v>
      </x:c>
      <x:c r="I87" s="12" t="str">
        <x:v>Redonda</x:v>
      </x:c>
      <x:c r="J87" s="12" t="str">
        <x:v>2.71</x:v>
      </x:c>
      <x:c r="K87" s="14" t="n">
        <x:v>0.08</x:v>
      </x:c>
      <x:c r="L87" s="12" t="str">
        <x:v>Sim</x:v>
      </x:c>
      <x:c r="M87" s="12" t="str">
        <x:v>Fornecedor</x:v>
      </x:c>
      <x:c r="N87" s="12" t="str">
        <x:v>Azul Esverdeado Neon</x:v>
      </x:c>
      <x:c r="O87" s="12" t="str">
        <x:v>Transparente a translúcida</x:v>
      </x:c>
      <x:c r="P87" s="12" t="str">
        <x:v>Brasil</x:v>
      </x:c>
      <x:c r="Q87" s="12" t="str">
        <x:v>Não avaliado / não informado</x:v>
      </x:c>
      <x:c r="R87" s="12" t="str">
        <x:v>Não</x:v>
      </x:c>
      <x:c r="S87" s="12" t="str"/>
      <x:c r="T87" s="12" t="str"/>
      <x:c r="U87" s="20" t="n">
        <x:v>608</x:v>
      </x:c>
      <x:c r="V87" s="20"/>
      <x:c r="W87" s="20"/>
      <x:c r="X87" s="20"/>
      <x:c r="Y87" s="20"/>
      <x:c r="Z87" s="20"/>
      <x:c r="AA87" s="20"/>
      <x:c r="AB87" s="12" t="str">
        <x:v>Pendente de precificação individual</x:v>
      </x:c>
      <x:c r="AC87" s="16" t="n">
        <x:v>7.8</x:v>
      </x:c>
      <x:c r="AD87" s="12" t="str">
        <x:v>A-</x:v>
      </x:c>
      <x:c r="AE87" s="12" t="str">
        <x:v>Média</x:v>
      </x:c>
      <x:c r="AF87" s="12" t="str">
        <x:v>Brinco / detalhe</x:v>
      </x:c>
      <x:c r="AG87" s="12" t="str">
        <x:v>Brinco / detalhe</x:v>
      </x:c>
      <x:c r="AH87" s="12" t="str">
        <x:v>Coleção</x:v>
      </x:c>
      <x:c r="AI87" s="12" t="str"/>
      <x:c r="AJ87" s="12" t="str"/>
      <x:c r="AK87" s="12" t="str"/>
      <x:c r="AL87" s="12" t="str"/>
      <x:c r="AM87" s="12" t="str">
        <x:v>Não informado</x:v>
      </x:c>
      <x:c r="AN87" s="12" t="str"/>
      <x:c r="AO87" s="12" t="str">
        <x:v>2026-07-01</x:v>
      </x:c>
      <x:c r="AP87" s="12" t="str">
        <x:v>2026-07-19</x:v>
      </x:c>
      <x:c r="AQ87" s="12" t="str">
        <x:v>Alta</x:v>
      </x:c>
      <x:c r="AR87" s="12" t="str">
        <x:v>Inventário mestre completo atualizado em 2026-07-01</x:v>
      </x:c>
      <x:c r="AS87" s="12" t="str">
        <x:v>Avaliar certificação; Precificação individual pendente</x:v>
      </x:c>
      <x:c r="AT87" s="12" t="str">
        <x:v>Peso/medidas informados pelo fornecedor.</x:v>
      </x:c>
    </x:row>
    <x:row r="88">
      <x:c r="A88" s="12" t="str">
        <x:v>DG-PB-0008</x:v>
      </x:c>
      <x:c r="B88" s="12" t="str"/>
      <x:c r="C88" s="12" t="str">
        <x:v>Paraíba Collection</x:v>
      </x:c>
      <x:c r="D88" s="12" t="str">
        <x:v>Turmalinas</x:v>
      </x:c>
      <x:c r="E88" s="12" t="str">
        <x:v>Elbaíta</x:v>
      </x:c>
      <x:c r="F88" s="12" t="str">
        <x:v>Turmalina Paraíba</x:v>
      </x:c>
      <x:c r="G88" s="12" t="str">
        <x:v>Gema individual</x:v>
      </x:c>
      <x:c r="H88" s="18" t="n">
        <x:v>1</x:v>
      </x:c>
      <x:c r="I88" s="12" t="str">
        <x:v>Retangular</x:v>
      </x:c>
      <x:c r="J88" s="12" t="str">
        <x:v>3.04 x 2.77</x:v>
      </x:c>
      <x:c r="K88" s="14" t="n">
        <x:v>0.095</x:v>
      </x:c>
      <x:c r="L88" s="12" t="str">
        <x:v>Sim</x:v>
      </x:c>
      <x:c r="M88" s="12" t="str">
        <x:v>Fornecedor</x:v>
      </x:c>
      <x:c r="N88" s="12" t="str">
        <x:v>Azul Intenso</x:v>
      </x:c>
      <x:c r="O88" s="12" t="str">
        <x:v>Transparente a translúcida</x:v>
      </x:c>
      <x:c r="P88" s="12" t="str">
        <x:v>Brasil</x:v>
      </x:c>
      <x:c r="Q88" s="12" t="str">
        <x:v>Não avaliado / não informado</x:v>
      </x:c>
      <x:c r="R88" s="12" t="str">
        <x:v>Não</x:v>
      </x:c>
      <x:c r="S88" s="12" t="str"/>
      <x:c r="T88" s="12" t="str"/>
      <x:c r="U88" s="20" t="n">
        <x:v>432</x:v>
      </x:c>
      <x:c r="V88" s="20"/>
      <x:c r="W88" s="20"/>
      <x:c r="X88" s="20"/>
      <x:c r="Y88" s="20"/>
      <x:c r="Z88" s="20"/>
      <x:c r="AA88" s="20"/>
      <x:c r="AB88" s="12" t="str">
        <x:v>Pendente de precificação individual</x:v>
      </x:c>
      <x:c r="AC88" s="16" t="n">
        <x:v>8.2</x:v>
      </x:c>
      <x:c r="AD88" s="12" t="str">
        <x:v>A</x:v>
      </x:c>
      <x:c r="AE88" s="12" t="str">
        <x:v>Média</x:v>
      </x:c>
      <x:c r="AF88" s="12" t="str">
        <x:v>Anel geométrico / halo</x:v>
      </x:c>
      <x:c r="AG88" s="12" t="str">
        <x:v>Anel geométrico / halo</x:v>
      </x:c>
      <x:c r="AH88" s="12" t="str">
        <x:v>Coleção</x:v>
      </x:c>
      <x:c r="AI88" s="12" t="str"/>
      <x:c r="AJ88" s="12" t="str"/>
      <x:c r="AK88" s="12" t="str"/>
      <x:c r="AL88" s="12" t="str"/>
      <x:c r="AM88" s="12" t="str">
        <x:v>Não informado</x:v>
      </x:c>
      <x:c r="AN88" s="12" t="str"/>
      <x:c r="AO88" s="12" t="str">
        <x:v>2026-07-01</x:v>
      </x:c>
      <x:c r="AP88" s="12" t="str">
        <x:v>2026-07-19</x:v>
      </x:c>
      <x:c r="AQ88" s="12" t="str">
        <x:v>Alta</x:v>
      </x:c>
      <x:c r="AR88" s="12" t="str">
        <x:v>Inventário mestre completo atualizado em 2026-07-01</x:v>
      </x:c>
      <x:c r="AS88" s="12" t="str">
        <x:v>Avaliar certificação; Precificação individual pendente</x:v>
      </x:c>
      <x:c r="AT88" s="12" t="str">
        <x:v>Peso/medidas informados pelo fornecedor.</x:v>
      </x:c>
    </x:row>
    <x:row r="89">
      <x:c r="A89" s="12" t="str">
        <x:v>DG-PB-0009</x:v>
      </x:c>
      <x:c r="B89" s="12" t="str"/>
      <x:c r="C89" s="12" t="str">
        <x:v>Paraíba Collection</x:v>
      </x:c>
      <x:c r="D89" s="12" t="str">
        <x:v>Turmalinas</x:v>
      </x:c>
      <x:c r="E89" s="12" t="str">
        <x:v>Elbaíta</x:v>
      </x:c>
      <x:c r="F89" s="12" t="str">
        <x:v>Turmalina Paraíba</x:v>
      </x:c>
      <x:c r="G89" s="12" t="str">
        <x:v>Gema individual</x:v>
      </x:c>
      <x:c r="H89" s="18" t="n">
        <x:v>1</x:v>
      </x:c>
      <x:c r="I89" s="12" t="str">
        <x:v>Gota</x:v>
      </x:c>
      <x:c r="J89" s="12" t="str">
        <x:v>3.73 x 2.86</x:v>
      </x:c>
      <x:c r="K89" s="14" t="n">
        <x:v>0.105</x:v>
      </x:c>
      <x:c r="L89" s="12" t="str">
        <x:v>Sim</x:v>
      </x:c>
      <x:c r="M89" s="12" t="str">
        <x:v>Fornecedor</x:v>
      </x:c>
      <x:c r="N89" s="12" t="str">
        <x:v>Azul Neon</x:v>
      </x:c>
      <x:c r="O89" s="12" t="str">
        <x:v>Transparente a translúcida</x:v>
      </x:c>
      <x:c r="P89" s="12" t="str">
        <x:v>Brasil</x:v>
      </x:c>
      <x:c r="Q89" s="12" t="str">
        <x:v>Não avaliado / não informado</x:v>
      </x:c>
      <x:c r="R89" s="12" t="str">
        <x:v>Não</x:v>
      </x:c>
      <x:c r="S89" s="12" t="str"/>
      <x:c r="T89" s="12" t="str"/>
      <x:c r="U89" s="20" t="n">
        <x:v>398</x:v>
      </x:c>
      <x:c r="V89" s="20"/>
      <x:c r="W89" s="20"/>
      <x:c r="X89" s="20"/>
      <x:c r="Y89" s="20"/>
      <x:c r="Z89" s="20"/>
      <x:c r="AA89" s="20"/>
      <x:c r="AB89" s="12" t="str">
        <x:v>Pendente de precificação individual</x:v>
      </x:c>
      <x:c r="AC89" s="16" t="n">
        <x:v>7.6</x:v>
      </x:c>
      <x:c r="AD89" s="12" t="str">
        <x:v>A-</x:v>
      </x:c>
      <x:c r="AE89" s="12" t="str">
        <x:v>Média</x:v>
      </x:c>
      <x:c r="AF89" s="12" t="str">
        <x:v>Pingente delicado</x:v>
      </x:c>
      <x:c r="AG89" s="12" t="str">
        <x:v>Pingente delicado</x:v>
      </x:c>
      <x:c r="AH89" s="12" t="str">
        <x:v>Coleção</x:v>
      </x:c>
      <x:c r="AI89" s="12" t="str"/>
      <x:c r="AJ89" s="12" t="str"/>
      <x:c r="AK89" s="12" t="str"/>
      <x:c r="AL89" s="12" t="str"/>
      <x:c r="AM89" s="12" t="str">
        <x:v>Não informado</x:v>
      </x:c>
      <x:c r="AN89" s="12" t="str"/>
      <x:c r="AO89" s="12" t="str">
        <x:v>2026-07-01</x:v>
      </x:c>
      <x:c r="AP89" s="12" t="str">
        <x:v>2026-07-19</x:v>
      </x:c>
      <x:c r="AQ89" s="12" t="str">
        <x:v>Alta</x:v>
      </x:c>
      <x:c r="AR89" s="12" t="str">
        <x:v>Inventário mestre completo atualizado em 2026-07-01</x:v>
      </x:c>
      <x:c r="AS89" s="12" t="str">
        <x:v>Avaliar certificação; Precificação individual pendente</x:v>
      </x:c>
      <x:c r="AT89" s="12" t="str">
        <x:v>Peso/medidas informados pelo fornecedor.</x:v>
      </x:c>
    </x:row>
    <x:row r="90">
      <x:c r="A90" s="12" t="str">
        <x:v>DG-PB-0010</x:v>
      </x:c>
      <x:c r="B90" s="12" t="str"/>
      <x:c r="C90" s="12" t="str">
        <x:v>Paraíba Collection</x:v>
      </x:c>
      <x:c r="D90" s="12" t="str">
        <x:v>Turmalinas</x:v>
      </x:c>
      <x:c r="E90" s="12" t="str">
        <x:v>Elbaíta</x:v>
      </x:c>
      <x:c r="F90" s="12" t="str">
        <x:v>Turmalina Paraíba</x:v>
      </x:c>
      <x:c r="G90" s="12" t="str">
        <x:v>Gema individual</x:v>
      </x:c>
      <x:c r="H90" s="18" t="n">
        <x:v>1</x:v>
      </x:c>
      <x:c r="I90" s="12" t="str">
        <x:v>Redonda</x:v>
      </x:c>
      <x:c r="J90" s="12" t="str">
        <x:v>3.25</x:v>
      </x:c>
      <x:c r="K90" s="14" t="n">
        <x:v>0.11</x:v>
      </x:c>
      <x:c r="L90" s="12" t="str">
        <x:v>Sim</x:v>
      </x:c>
      <x:c r="M90" s="12" t="str">
        <x:v>Fornecedor</x:v>
      </x:c>
      <x:c r="N90" s="12" t="str">
        <x:v>Verde Azulado Neon</x:v>
      </x:c>
      <x:c r="O90" s="12" t="str">
        <x:v>Transparente a translúcida</x:v>
      </x:c>
      <x:c r="P90" s="12" t="str">
        <x:v>Brasil</x:v>
      </x:c>
      <x:c r="Q90" s="12" t="str">
        <x:v>Não avaliado / não informado</x:v>
      </x:c>
      <x:c r="R90" s="12" t="str">
        <x:v>Não</x:v>
      </x:c>
      <x:c r="S90" s="12" t="str"/>
      <x:c r="T90" s="12" t="str"/>
      <x:c r="U90" s="20" t="n">
        <x:v>350</x:v>
      </x:c>
      <x:c r="V90" s="20"/>
      <x:c r="W90" s="20"/>
      <x:c r="X90" s="20"/>
      <x:c r="Y90" s="20"/>
      <x:c r="Z90" s="20"/>
      <x:c r="AA90" s="20"/>
      <x:c r="AB90" s="12" t="str">
        <x:v>Pendente de precificação individual</x:v>
      </x:c>
      <x:c r="AC90" s="16" t="n">
        <x:v>7.7</x:v>
      </x:c>
      <x:c r="AD90" s="12" t="str">
        <x:v>A-</x:v>
      </x:c>
      <x:c r="AE90" s="12" t="str">
        <x:v>Média</x:v>
      </x:c>
      <x:c r="AF90" s="12" t="str">
        <x:v>Brinco / detalhe</x:v>
      </x:c>
      <x:c r="AG90" s="12" t="str">
        <x:v>Brinco / detalhe</x:v>
      </x:c>
      <x:c r="AH90" s="12" t="str">
        <x:v>Coleção</x:v>
      </x:c>
      <x:c r="AI90" s="12" t="str"/>
      <x:c r="AJ90" s="12" t="str"/>
      <x:c r="AK90" s="12" t="str"/>
      <x:c r="AL90" s="12" t="str"/>
      <x:c r="AM90" s="12" t="str">
        <x:v>Não informado</x:v>
      </x:c>
      <x:c r="AN90" s="12" t="str"/>
      <x:c r="AO90" s="12" t="str">
        <x:v>2026-07-01</x:v>
      </x:c>
      <x:c r="AP90" s="12" t="str">
        <x:v>2026-07-19</x:v>
      </x:c>
      <x:c r="AQ90" s="12" t="str">
        <x:v>Alta</x:v>
      </x:c>
      <x:c r="AR90" s="12" t="str">
        <x:v>Inventário mestre completo atualizado em 2026-07-01</x:v>
      </x:c>
      <x:c r="AS90" s="12" t="str">
        <x:v>Avaliar certificação; Precificação individual pendente</x:v>
      </x:c>
      <x:c r="AT90" s="12" t="str">
        <x:v>Peso/medidas informados pelo fornecedor.</x:v>
      </x:c>
    </x:row>
    <x:row r="91">
      <x:c r="A91" s="12" t="str">
        <x:v>DG-PB-0011</x:v>
      </x:c>
      <x:c r="B91" s="12" t="str"/>
      <x:c r="C91" s="12" t="str">
        <x:v>Paraíba Collection</x:v>
      </x:c>
      <x:c r="D91" s="12" t="str">
        <x:v>Turmalinas</x:v>
      </x:c>
      <x:c r="E91" s="12" t="str">
        <x:v>Elbaíta</x:v>
      </x:c>
      <x:c r="F91" s="12" t="str">
        <x:v>Turmalina Paraíba</x:v>
      </x:c>
      <x:c r="G91" s="12" t="str">
        <x:v>Gema individual</x:v>
      </x:c>
      <x:c r="H91" s="18" t="n">
        <x:v>1</x:v>
      </x:c>
      <x:c r="I91" s="12" t="str">
        <x:v>Gota</x:v>
      </x:c>
      <x:c r="J91" s="12" t="str">
        <x:v>4.34 x 3.13</x:v>
      </x:c>
      <x:c r="K91" s="14" t="n">
        <x:v>0.165</x:v>
      </x:c>
      <x:c r="L91" s="12" t="str">
        <x:v>Sim</x:v>
      </x:c>
      <x:c r="M91" s="12" t="str">
        <x:v>Fornecedor</x:v>
      </x:c>
      <x:c r="N91" s="12" t="str">
        <x:v>Verde Neon</x:v>
      </x:c>
      <x:c r="O91" s="12" t="str">
        <x:v>Transparente a translúcida</x:v>
      </x:c>
      <x:c r="P91" s="12" t="str">
        <x:v>Brasil</x:v>
      </x:c>
      <x:c r="Q91" s="12" t="str">
        <x:v>Não avaliado / não informado</x:v>
      </x:c>
      <x:c r="R91" s="12" t="str">
        <x:v>Não</x:v>
      </x:c>
      <x:c r="S91" s="12" t="str"/>
      <x:c r="T91" s="12" t="str"/>
      <x:c r="U91" s="20" t="n">
        <x:v>640</x:v>
      </x:c>
      <x:c r="V91" s="20"/>
      <x:c r="W91" s="20"/>
      <x:c r="X91" s="20"/>
      <x:c r="Y91" s="20"/>
      <x:c r="Z91" s="20"/>
      <x:c r="AA91" s="20"/>
      <x:c r="AB91" s="12" t="str">
        <x:v>Pendente de precificação individual</x:v>
      </x:c>
      <x:c r="AC91" s="16" t="n">
        <x:v>8</x:v>
      </x:c>
      <x:c r="AD91" s="12" t="str">
        <x:v>A-</x:v>
      </x:c>
      <x:c r="AE91" s="12" t="str">
        <x:v>Média</x:v>
      </x:c>
      <x:c r="AF91" s="12" t="str">
        <x:v>Pingente / composição</x:v>
      </x:c>
      <x:c r="AG91" s="12" t="str">
        <x:v>Pingente / composição</x:v>
      </x:c>
      <x:c r="AH91" s="12" t="str">
        <x:v>Coleção</x:v>
      </x:c>
      <x:c r="AI91" s="12" t="str"/>
      <x:c r="AJ91" s="12" t="str"/>
      <x:c r="AK91" s="12" t="str"/>
      <x:c r="AL91" s="12" t="str"/>
      <x:c r="AM91" s="12" t="str">
        <x:v>Não informado</x:v>
      </x:c>
      <x:c r="AN91" s="12" t="str"/>
      <x:c r="AO91" s="12" t="str">
        <x:v>2026-07-01</x:v>
      </x:c>
      <x:c r="AP91" s="12" t="str">
        <x:v>2026-07-19</x:v>
      </x:c>
      <x:c r="AQ91" s="12" t="str">
        <x:v>Alta</x:v>
      </x:c>
      <x:c r="AR91" s="12" t="str">
        <x:v>Inventário mestre completo atualizado em 2026-07-01</x:v>
      </x:c>
      <x:c r="AS91" s="12" t="str">
        <x:v>Avaliar certificação; Precificação individual pendente</x:v>
      </x:c>
      <x:c r="AT91" s="12" t="str">
        <x:v>Peso/medidas informados pelo fornecedor.</x:v>
      </x:c>
    </x:row>
    <x:row r="92">
      <x:c r="A92" s="12" t="str">
        <x:v>DG-TR-001</x:v>
      </x:c>
      <x:c r="B92" s="12" t="str"/>
      <x:c r="C92" s="12" t="str">
        <x:v>Tourmaline Collection</x:v>
      </x:c>
      <x:c r="D92" s="12" t="str">
        <x:v>Turmalinas</x:v>
      </x:c>
      <x:c r="E92" s="12" t="str">
        <x:v>Elbaíta</x:v>
      </x:c>
      <x:c r="F92" s="12" t="str">
        <x:v>Turmalina Rosa</x:v>
      </x:c>
      <x:c r="G92" s="12" t="str">
        <x:v>Gema individual</x:v>
      </x:c>
      <x:c r="H92" s="18" t="n">
        <x:v>1</x:v>
      </x:c>
      <x:c r="I92" s="12" t="str">
        <x:v>Gota / Pear</x:v>
      </x:c>
      <x:c r="J92" s="12" t="str">
        <x:v>5 x 3 x 2</x:v>
      </x:c>
      <x:c r="K92" s="14" t="n">
        <x:v>0.16</x:v>
      </x:c>
      <x:c r="L92" s="12" t="str">
        <x:v>Sim</x:v>
      </x:c>
      <x:c r="M92" s="12" t="str">
        <x:v>Balança / informado</x:v>
      </x:c>
      <x:c r="N92" s="12" t="str">
        <x:v>Rosa intenso tendendo ao magenta</x:v>
      </x:c>
      <x:c r="O92" s="12" t="str">
        <x:v>Transparente</x:v>
      </x:c>
      <x:c r="P92" s="12" t="str">
        <x:v>Não informada</x:v>
      </x:c>
      <x:c r="Q92" s="12" t="str">
        <x:v>Não avaliado / não informado</x:v>
      </x:c>
      <x:c r="R92" s="12" t="str">
        <x:v>Não</x:v>
      </x:c>
      <x:c r="S92" s="12" t="str"/>
      <x:c r="T92" s="12" t="str"/>
      <x:c r="U92" s="20"/>
      <x:c r="V92" s="20" t="n">
        <x:v>120</x:v>
      </x:c>
      <x:c r="W92" s="20" t="n">
        <x:v>250</x:v>
      </x:c>
      <x:c r="X92" s="20" t="n">
        <x:v>250</x:v>
      </x:c>
      <x:c r="Y92" s="20" t="n">
        <x:v>500</x:v>
      </x:c>
      <x:c r="Z92" s="20" t="n">
        <x:v>1200</x:v>
      </x:c>
      <x:c r="AA92" s="20" t="n">
        <x:v>3000</x:v>
      </x:c>
      <x:c r="AB92" s="12" t="str">
        <x:v>Registrado no histórico</x:v>
      </x:c>
      <x:c r="AC92" s="16" t="n">
        <x:v>9.3</x:v>
      </x:c>
      <x:c r="AD92" s="12" t="str">
        <x:v>A</x:v>
      </x:c>
      <x:c r="AE92" s="12" t="str">
        <x:v>Média</x:v>
      </x:c>
      <x:c r="AF92" s="12" t="str">
        <x:v>Pingente delicado, brinco ou anel minimalista</x:v>
      </x:c>
      <x:c r="AG92" s="12" t="str">
        <x:v>Coleção / Joalheria</x:v>
      </x:c>
      <x:c r="AH92" s="12" t="str">
        <x:v>Coleção</x:v>
      </x:c>
      <x:c r="AI92" s="12" t="str">
        <x:v>TR-01</x:v>
      </x:c>
      <x:c r="AJ92" s="12" t="str">
        <x:v>TR-01</x:v>
      </x:c>
      <x:c r="AK92" s="12" t="str">
        <x:v>A</x:v>
      </x:c>
      <x:c r="AL92" s="12" t="str">
        <x:v>Caixa TR-01 / Envelope TR-01 / Posição A</x:v>
      </x:c>
      <x:c r="AM92" s="12" t="str">
        <x:v>Confirmada</x:v>
      </x:c>
      <x:c r="AN92" s="12" t="str">
        <x:v>IMG_0357F68B-EB26-4D1A-96B3-7A5BD62FB80F.jpeg; IMG_A7B5BEDC-90E9-487D-BDD7-2B38C985DE01.jpeg</x:v>
      </x:c>
      <x:c r="AO92" s="12" t="str">
        <x:v>2026-07-01</x:v>
      </x:c>
      <x:c r="AP92" s="12" t="str">
        <x:v>2026-07-19</x:v>
      </x:c>
      <x:c r="AQ92" s="12" t="str">
        <x:v>Alta</x:v>
      </x:c>
      <x:c r="AR92" s="12" t="str">
        <x:v>Histórico de catalogação das turmalinas rosas em 2026-07-01</x:v>
      </x:c>
      <x:c r="AS92" s="12" t="str">
        <x:v>Avaliar certificação</x:v>
      </x:c>
      <x:c r="AT92" s="12" t="str">
        <x:v>Boa saturação para o tamanho; primeira pedra do envelope TR-01.</x:v>
      </x:c>
    </x:row>
    <x:row r="93">
      <x:c r="A93" s="12" t="str">
        <x:v>DG-TR-004</x:v>
      </x:c>
      <x:c r="B93" s="12" t="str"/>
      <x:c r="C93" s="12" t="str">
        <x:v>Tourmaline Collection</x:v>
      </x:c>
      <x:c r="D93" s="12" t="str">
        <x:v>Turmalinas</x:v>
      </x:c>
      <x:c r="E93" s="12" t="str">
        <x:v>Elbaíta</x:v>
      </x:c>
      <x:c r="F93" s="12" t="str">
        <x:v>Turmalina Rosa</x:v>
      </x:c>
      <x:c r="G93" s="12" t="str">
        <x:v>Gema individual</x:v>
      </x:c>
      <x:c r="H93" s="18" t="n">
        <x:v>1</x:v>
      </x:c>
      <x:c r="I93" s="12" t="str">
        <x:v>Gota / Pear Brilliant</x:v>
      </x:c>
      <x:c r="J93" s="12" t="str">
        <x:v>7 x 4 x 3</x:v>
      </x:c>
      <x:c r="K93" s="14" t="n">
        <x:v>0.35</x:v>
      </x:c>
      <x:c r="L93" s="12" t="str">
        <x:v>Sim</x:v>
      </x:c>
      <x:c r="M93" s="12" t="str">
        <x:v>Balança / informado</x:v>
      </x:c>
      <x:c r="N93" s="12" t="str">
        <x:v>Rosa médio levemente violáceo</x:v>
      </x:c>
      <x:c r="O93" s="12" t="str">
        <x:v>Transparente a semitransparente</x:v>
      </x:c>
      <x:c r="P93" s="12" t="str">
        <x:v>Não informada</x:v>
      </x:c>
      <x:c r="Q93" s="12" t="str">
        <x:v>Não avaliado / não informado</x:v>
      </x:c>
      <x:c r="R93" s="12" t="str">
        <x:v>Não</x:v>
      </x:c>
      <x:c r="S93" s="12" t="str"/>
      <x:c r="T93" s="12" t="str"/>
      <x:c r="U93" s="20"/>
      <x:c r="V93" s="20" t="n">
        <x:v>180</x:v>
      </x:c>
      <x:c r="W93" s="20" t="n">
        <x:v>350</x:v>
      </x:c>
      <x:c r="X93" s="20" t="n">
        <x:v>400</x:v>
      </x:c>
      <x:c r="Y93" s="20" t="n">
        <x:v>700</x:v>
      </x:c>
      <x:c r="Z93" s="20" t="n">
        <x:v>2000</x:v>
      </x:c>
      <x:c r="AA93" s="20" t="n">
        <x:v>4000</x:v>
      </x:c>
      <x:c r="AB93" s="12" t="str">
        <x:v>Registrado no histórico</x:v>
      </x:c>
      <x:c r="AC93" s="16" t="n">
        <x:v>8.6</x:v>
      </x:c>
      <x:c r="AD93" s="12" t="str">
        <x:v>A-</x:v>
      </x:c>
      <x:c r="AE93" s="12" t="str">
        <x:v>Média</x:v>
      </x:c>
      <x:c r="AF93" s="12" t="str">
        <x:v>Pingente, brinco ou anel com halo</x:v>
      </x:c>
      <x:c r="AG93" s="12" t="str">
        <x:v>Coleção / Joalheria</x:v>
      </x:c>
      <x:c r="AH93" s="12" t="str">
        <x:v>Coleção</x:v>
      </x:c>
      <x:c r="AI93" s="12" t="str">
        <x:v>TR-01</x:v>
      </x:c>
      <x:c r="AJ93" s="12" t="str">
        <x:v>TR-02</x:v>
      </x:c>
      <x:c r="AK93" s="12" t="str">
        <x:v>B</x:v>
      </x:c>
      <x:c r="AL93" s="12" t="str">
        <x:v>Caixa TR-01 / Envelope TR-02 / Posição B</x:v>
      </x:c>
      <x:c r="AM93" s="12" t="str">
        <x:v>Confirmada</x:v>
      </x:c>
      <x:c r="AN93" s="12" t="str">
        <x:v>IMG_DE0FAD81-7254-4041-B1AE-2E575B648517.jpeg; IMG_145C1155-25C7-4313-94EA-DFD1D128CFD4.jpeg</x:v>
      </x:c>
      <x:c r="AO93" s="12" t="str">
        <x:v>2026-07-01</x:v>
      </x:c>
      <x:c r="AP93" s="12" t="str">
        <x:v>2026-07-19</x:v>
      </x:c>
      <x:c r="AQ93" s="12" t="str">
        <x:v>Alta</x:v>
      </x:c>
      <x:c r="AR93" s="12" t="str">
        <x:v>Histórico de catalogação das turmalinas rosas em 2026-07-01</x:v>
      </x:c>
      <x:c r="AS93" s="12" t="str">
        <x:v>Avaliar certificação</x:v>
      </x:c>
      <x:c r="AT93" s="12" t="str">
        <x:v>Tamanho interessante; inclusões e fraturas cicatrizadas visíveis.</x:v>
      </x:c>
    </x:row>
    <x:row r="94">
      <x:c r="A94" s="12" t="str">
        <x:v>DG-TR-006</x:v>
      </x:c>
      <x:c r="B94" s="12" t="str"/>
      <x:c r="C94" s="12" t="str">
        <x:v>Tourmaline Collection</x:v>
      </x:c>
      <x:c r="D94" s="12" t="str">
        <x:v>Turmalinas</x:v>
      </x:c>
      <x:c r="E94" s="12" t="str">
        <x:v>Elbaíta</x:v>
      </x:c>
      <x:c r="F94" s="12" t="str">
        <x:v>Turmalina Rosa</x:v>
      </x:c>
      <x:c r="G94" s="12" t="str">
        <x:v>Gema individual</x:v>
      </x:c>
      <x:c r="H94" s="18" t="n">
        <x:v>1</x:v>
      </x:c>
      <x:c r="I94" s="12" t="str">
        <x:v>Gota / Pear Brilliant</x:v>
      </x:c>
      <x:c r="J94" s="12" t="str">
        <x:v>6 x 4 x 3</x:v>
      </x:c>
      <x:c r="K94" s="14" t="n">
        <x:v>0.16</x:v>
      </x:c>
      <x:c r="L94" s="12" t="str">
        <x:v>Sim</x:v>
      </x:c>
      <x:c r="M94" s="12" t="str">
        <x:v>Balança / informado</x:v>
      </x:c>
      <x:c r="N94" s="12" t="str">
        <x:v>Rosa intenso com leve matiz magenta</x:v>
      </x:c>
      <x:c r="O94" s="12" t="str">
        <x:v>Transparente</x:v>
      </x:c>
      <x:c r="P94" s="12" t="str">
        <x:v>Não informada</x:v>
      </x:c>
      <x:c r="Q94" s="12" t="str">
        <x:v>Não avaliado / não informado</x:v>
      </x:c>
      <x:c r="R94" s="12" t="str">
        <x:v>Não</x:v>
      </x:c>
      <x:c r="S94" s="12" t="str"/>
      <x:c r="T94" s="12" t="str"/>
      <x:c r="U94" s="20"/>
      <x:c r="V94" s="20" t="n">
        <x:v>220</x:v>
      </x:c>
      <x:c r="W94" s="20" t="n">
        <x:v>420</x:v>
      </x:c>
      <x:c r="X94" s="20" t="n">
        <x:v>500</x:v>
      </x:c>
      <x:c r="Y94" s="20" t="n">
        <x:v>850</x:v>
      </x:c>
      <x:c r="Z94" s="20" t="n">
        <x:v>2000</x:v>
      </x:c>
      <x:c r="AA94" s="20" t="n">
        <x:v>4000</x:v>
      </x:c>
      <x:c r="AB94" s="12" t="str">
        <x:v>Registrado no histórico</x:v>
      </x:c>
      <x:c r="AC94" s="16" t="n">
        <x:v>8.9</x:v>
      </x:c>
      <x:c r="AD94" s="12" t="str">
        <x:v>A-</x:v>
      </x:c>
      <x:c r="AE94" s="12" t="str">
        <x:v>Média</x:v>
      </x:c>
      <x:c r="AF94" s="12" t="str">
        <x:v>Brincos delicados ou anel floral/vintage</x:v>
      </x:c>
      <x:c r="AG94" s="12" t="str">
        <x:v>Coleção / Joalheria</x:v>
      </x:c>
      <x:c r="AH94" s="12" t="str">
        <x:v>Coleção</x:v>
      </x:c>
      <x:c r="AI94" s="12" t="str">
        <x:v>TR-01</x:v>
      </x:c>
      <x:c r="AJ94" s="12" t="str">
        <x:v>TR-03</x:v>
      </x:c>
      <x:c r="AK94" s="12" t="str">
        <x:v>B</x:v>
      </x:c>
      <x:c r="AL94" s="12" t="str">
        <x:v>Caixa TR-01 / Envelope TR-03 / Posição B</x:v>
      </x:c>
      <x:c r="AM94" s="12" t="str">
        <x:v>Confirmada</x:v>
      </x:c>
      <x:c r="AN94" s="12" t="str">
        <x:v>IMG_8324A061-102D-48A9-B91F-20CBB7705847.jpeg</x:v>
      </x:c>
      <x:c r="AO94" s="12" t="str">
        <x:v>2026-07-01</x:v>
      </x:c>
      <x:c r="AP94" s="12" t="str">
        <x:v>2026-07-19</x:v>
      </x:c>
      <x:c r="AQ94" s="12" t="str">
        <x:v>Alta</x:v>
      </x:c>
      <x:c r="AR94" s="12" t="str">
        <x:v>Histórico de catalogação das turmalinas rosas em 2026-07-01</x:v>
      </x:c>
      <x:c r="AS94" s="12" t="str">
        <x:v>Avaliar certificação</x:v>
      </x:c>
      <x:c r="AT94" s="12" t="str">
        <x:v>Boa saturação, distribuição de cor e retorno de luz.</x:v>
      </x:c>
    </x:row>
    <x:row r="95">
      <x:c r="A95" s="12" t="str">
        <x:v>DG-TR-008</x:v>
      </x:c>
      <x:c r="B95" s="12" t="str"/>
      <x:c r="C95" s="12" t="str">
        <x:v>Tourmaline Collection</x:v>
      </x:c>
      <x:c r="D95" s="12" t="str">
        <x:v>Turmalinas</x:v>
      </x:c>
      <x:c r="E95" s="12" t="str">
        <x:v>Elbaíta</x:v>
      </x:c>
      <x:c r="F95" s="12" t="str">
        <x:v>Turmalina Rosa</x:v>
      </x:c>
      <x:c r="G95" s="12" t="str">
        <x:v>Gema individual</x:v>
      </x:c>
      <x:c r="H95" s="18" t="n">
        <x:v>1</x:v>
      </x:c>
      <x:c r="I95" s="12" t="str">
        <x:v>Retangular / Emerald / Step Cut</x:v>
      </x:c>
      <x:c r="J95" s="12" t="str">
        <x:v>6 x 4 x 3</x:v>
      </x:c>
      <x:c r="K95" s="14" t="n">
        <x:v>0.39</x:v>
      </x:c>
      <x:c r="L95" s="12" t="str">
        <x:v>Sim</x:v>
      </x:c>
      <x:c r="M95" s="12" t="str">
        <x:v>Balança / informado</x:v>
      </x:c>
      <x:c r="N95" s="12" t="str">
        <x:v>Rosa claro com leve tonalidade salmão</x:v>
      </x:c>
      <x:c r="O95" s="12" t="str">
        <x:v>Transparente</x:v>
      </x:c>
      <x:c r="P95" s="12" t="str">
        <x:v>Não informada</x:v>
      </x:c>
      <x:c r="Q95" s="12" t="str">
        <x:v>Não avaliado / não informado</x:v>
      </x:c>
      <x:c r="R95" s="12" t="str">
        <x:v>Não</x:v>
      </x:c>
      <x:c r="S95" s="12" t="str"/>
      <x:c r="T95" s="12" t="str"/>
      <x:c r="U95" s="20"/>
      <x:c r="V95" s="20" t="n">
        <x:v>350</x:v>
      </x:c>
      <x:c r="W95" s="20" t="n">
        <x:v>550</x:v>
      </x:c>
      <x:c r="X95" s="20" t="n">
        <x:v>800</x:v>
      </x:c>
      <x:c r="Y95" s="20" t="n">
        <x:v>1200</x:v>
      </x:c>
      <x:c r="Z95" s="20" t="n">
        <x:v>3000</x:v>
      </x:c>
      <x:c r="AA95" s="20" t="n">
        <x:v>5500</x:v>
      </x:c>
      <x:c r="AB95" s="12" t="str">
        <x:v>Registrado no histórico</x:v>
      </x:c>
      <x:c r="AC95" s="16" t="n">
        <x:v>9</x:v>
      </x:c>
      <x:c r="AD95" s="12" t="str">
        <x:v>A</x:v>
      </x:c>
      <x:c r="AE95" s="12" t="str">
        <x:v>Média</x:v>
      </x:c>
      <x:c r="AF95" s="12" t="str">
        <x:v>Anel solitário minimalista ou pingente moderno</x:v>
      </x:c>
      <x:c r="AG95" s="12" t="str">
        <x:v>Coleção / Joalheria</x:v>
      </x:c>
      <x:c r="AH95" s="12" t="str">
        <x:v>Coleção</x:v>
      </x:c>
      <x:c r="AI95" s="12" t="str">
        <x:v>TR-01</x:v>
      </x:c>
      <x:c r="AJ95" s="12" t="str">
        <x:v>TR-04</x:v>
      </x:c>
      <x:c r="AK95" s="12" t="str">
        <x:v>B</x:v>
      </x:c>
      <x:c r="AL95" s="12" t="str">
        <x:v>Caixa TR-01 / Envelope TR-04 / Posição B</x:v>
      </x:c>
      <x:c r="AM95" s="12" t="str">
        <x:v>Confirmada</x:v>
      </x:c>
      <x:c r="AN95" s="12" t="str">
        <x:v>IMG_21A1B59B-4E60-4707-B0AB-6BE1598B7F29.jpeg; IMG_C8FB69A5-B9FE-4682-9AEC-DB8622C38F7F.jpeg; IMG_48189CA2-5498-4542-9CE5-FCDC3C73ECDC.jpeg</x:v>
      </x:c>
      <x:c r="AO95" s="12" t="str">
        <x:v>2026-07-01</x:v>
      </x:c>
      <x:c r="AP95" s="12" t="str">
        <x:v>2026-07-19</x:v>
      </x:c>
      <x:c r="AQ95" s="12" t="str">
        <x:v>Alta</x:v>
      </x:c>
      <x:c r="AR95" s="12" t="str">
        <x:v>Histórico de catalogação das turmalinas rosas em 2026-07-01</x:v>
      </x:c>
      <x:c r="AS95" s="12" t="str">
        <x:v>Avaliar certificação</x:v>
      </x:c>
      <x:c r="AT95" s="12" t="str">
        <x:v>Lapidação retangular equilibrada; boa transparência e peso para as dimensões.</x:v>
      </x:c>
    </x:row>
    <x:row r="96">
      <x:c r="A96" s="12" t="str">
        <x:v>DG-TR-014</x:v>
      </x:c>
      <x:c r="B96" s="12" t="str"/>
      <x:c r="C96" s="12" t="str">
        <x:v>Tourmaline Collection</x:v>
      </x:c>
      <x:c r="D96" s="12" t="str">
        <x:v>Turmalinas</x:v>
      </x:c>
      <x:c r="E96" s="12" t="str">
        <x:v>Elbaíta</x:v>
      </x:c>
      <x:c r="F96" s="12" t="str">
        <x:v>Turmalina Rosa</x:v>
      </x:c>
      <x:c r="G96" s="12" t="str">
        <x:v>Gema individual</x:v>
      </x:c>
      <x:c r="H96" s="18" t="n">
        <x:v>1</x:v>
      </x:c>
      <x:c r="I96" s="12" t="str">
        <x:v>Baguete / Step Cut alongada</x:v>
      </x:c>
      <x:c r="J96" s="12" t="str">
        <x:v>7 x 3 x 2</x:v>
      </x:c>
      <x:c r="K96" s="14" t="n">
        <x:v>0.225</x:v>
      </x:c>
      <x:c r="L96" s="12" t="str">
        <x:v>Sim</x:v>
      </x:c>
      <x:c r="M96" s="12" t="str">
        <x:v>Balança / informado</x:v>
      </x:c>
      <x:c r="N96" s="12" t="str">
        <x:v>Rosa claro</x:v>
      </x:c>
      <x:c r="O96" s="12" t="str">
        <x:v>Transparente</x:v>
      </x:c>
      <x:c r="P96" s="12" t="str">
        <x:v>Não informada</x:v>
      </x:c>
      <x:c r="Q96" s="12" t="str">
        <x:v>Não avaliado / não informado</x:v>
      </x:c>
      <x:c r="R96" s="12" t="str">
        <x:v>Não</x:v>
      </x:c>
      <x:c r="S96" s="12" t="str"/>
      <x:c r="T96" s="12" t="str"/>
      <x:c r="U96" s="20"/>
      <x:c r="V96" s="20" t="n">
        <x:v>180</x:v>
      </x:c>
      <x:c r="W96" s="20" t="n">
        <x:v>320</x:v>
      </x:c>
      <x:c r="X96" s="20" t="n">
        <x:v>450</x:v>
      </x:c>
      <x:c r="Y96" s="20" t="n">
        <x:v>850</x:v>
      </x:c>
      <x:c r="Z96" s="20" t="n">
        <x:v>2000</x:v>
      </x:c>
      <x:c r="AA96" s="20" t="n">
        <x:v>4000</x:v>
      </x:c>
      <x:c r="AB96" s="12" t="str">
        <x:v>Registrado no histórico</x:v>
      </x:c>
      <x:c r="AC96" s="16" t="n">
        <x:v>8.8</x:v>
      </x:c>
      <x:c r="AD96" s="12" t="str">
        <x:v>A-</x:v>
      </x:c>
      <x:c r="AE96" s="12" t="str">
        <x:v>Média</x:v>
      </x:c>
      <x:c r="AF96" s="12" t="str">
        <x:v>Joia Art Déco, lateral de anel ou pulseira</x:v>
      </x:c>
      <x:c r="AG96" s="12" t="str">
        <x:v>Coleção / Joalheria</x:v>
      </x:c>
      <x:c r="AH96" s="12" t="str">
        <x:v>Coleção</x:v>
      </x:c>
      <x:c r="AI96" s="12" t="str">
        <x:v>TR-01</x:v>
      </x:c>
      <x:c r="AJ96" s="12" t="str">
        <x:v>TR-07</x:v>
      </x:c>
      <x:c r="AK96" s="12" t="str">
        <x:v>B</x:v>
      </x:c>
      <x:c r="AL96" s="12" t="str">
        <x:v>Caixa TR-01 / Envelope TR-07 / Posição B</x:v>
      </x:c>
      <x:c r="AM96" s="12" t="str">
        <x:v>Confirmada</x:v>
      </x:c>
      <x:c r="AN96" s="12" t="str">
        <x:v>IMG_47801ADA-64E1-4DE1-8B3C-A54FE694DD24.jpeg</x:v>
      </x:c>
      <x:c r="AO96" s="12" t="str">
        <x:v>2026-07-01</x:v>
      </x:c>
      <x:c r="AP96" s="12" t="str">
        <x:v>2026-07-19</x:v>
      </x:c>
      <x:c r="AQ96" s="12" t="str">
        <x:v>Alta</x:v>
      </x:c>
      <x:c r="AR96" s="12" t="str">
        <x:v>Histórico de catalogação das turmalinas rosas em 2026-07-01</x:v>
      </x:c>
      <x:c r="AS96" s="12" t="str">
        <x:v>Avaliar certificação</x:v>
      </x:c>
      <x:c r="AT96" s="12" t="str">
        <x:v>Formato alongado elegante; inclusões lineares discretas e leve janela.</x:v>
      </x:c>
    </x:row>
    <x:row r="97">
      <x:c r="A97" s="12" t="str">
        <x:v>DG-TR-015</x:v>
      </x:c>
      <x:c r="B97" s="12" t="str"/>
      <x:c r="C97" s="12" t="str">
        <x:v>Tourmaline Collection</x:v>
      </x:c>
      <x:c r="D97" s="12" t="str">
        <x:v>Turmalinas</x:v>
      </x:c>
      <x:c r="E97" s="12" t="str">
        <x:v>Elbaíta</x:v>
      </x:c>
      <x:c r="F97" s="12" t="str">
        <x:v>Turmalina Rosa</x:v>
      </x:c>
      <x:c r="G97" s="12" t="str">
        <x:v>Gema individual</x:v>
      </x:c>
      <x:c r="H97" s="18" t="n">
        <x:v>1</x:v>
      </x:c>
      <x:c r="I97" s="12" t="str">
        <x:v>Retangular / Step Cut</x:v>
      </x:c>
      <x:c r="J97" s="12" t="str">
        <x:v>5 x 3 x 2</x:v>
      </x:c>
      <x:c r="K97" s="14" t="n">
        <x:v>0.195</x:v>
      </x:c>
      <x:c r="L97" s="12" t="str">
        <x:v>Sim</x:v>
      </x:c>
      <x:c r="M97" s="12" t="str">
        <x:v>Balança / informado</x:v>
      </x:c>
      <x:c r="N97" s="12" t="str">
        <x:v>Rosa claro a médio</x:v>
      </x:c>
      <x:c r="O97" s="12" t="str">
        <x:v>Transparente</x:v>
      </x:c>
      <x:c r="P97" s="12" t="str">
        <x:v>Não informada</x:v>
      </x:c>
      <x:c r="Q97" s="12" t="str">
        <x:v>Não avaliado / não informado</x:v>
      </x:c>
      <x:c r="R97" s="12" t="str">
        <x:v>Não</x:v>
      </x:c>
      <x:c r="S97" s="12" t="str"/>
      <x:c r="T97" s="12" t="str"/>
      <x:c r="U97" s="20"/>
      <x:c r="V97" s="20"/>
      <x:c r="W97" s="20"/>
      <x:c r="X97" s="20"/>
      <x:c r="Y97" s="20"/>
      <x:c r="Z97" s="20"/>
      <x:c r="AA97" s="20"/>
      <x:c r="AB97" s="12" t="str">
        <x:v>Pendente de precificação individual</x:v>
      </x:c>
      <x:c r="AC97" s="16"/>
      <x:c r="AD97" s="12" t="str">
        <x:v>Pendente</x:v>
      </x:c>
      <x:c r="AE97" s="12" t="str">
        <x:v>Baixa</x:v>
      </x:c>
      <x:c r="AF97" s="12" t="str">
        <x:v>Composição geométrica; avaliação textual pendente</x:v>
      </x:c>
      <x:c r="AG97" s="12" t="str">
        <x:v>Coleção / Joalheria</x:v>
      </x:c>
      <x:c r="AH97" s="12" t="str">
        <x:v>Coleção</x:v>
      </x:c>
      <x:c r="AI97" s="12" t="str">
        <x:v>TR-01</x:v>
      </x:c>
      <x:c r="AJ97" s="12" t="str">
        <x:v>TR-08</x:v>
      </x:c>
      <x:c r="AK97" s="12" t="str">
        <x:v>A</x:v>
      </x:c>
      <x:c r="AL97" s="12" t="str">
        <x:v>Caixa TR-01 / Envelope TR-08 / Posição A</x:v>
      </x:c>
      <x:c r="AM97" s="12" t="str">
        <x:v>Sugerida</x:v>
      </x:c>
      <x:c r="AN97" s="12" t="str">
        <x:v>IMG_241F08B5-98C6-4934-AE8D-3628B0CB6BB8.jpeg; IMG_A3E30C52-9BDA-4C0D-8BB4-D5C1CDBAC8F9.jpeg</x:v>
      </x:c>
      <x:c r="AO97" s="12" t="str">
        <x:v>2026-07-01</x:v>
      </x:c>
      <x:c r="AP97" s="12" t="str">
        <x:v>2026-07-19</x:v>
      </x:c>
      <x:c r="AQ97" s="12" t="str">
        <x:v>Alta</x:v>
      </x:c>
      <x:c r="AR97" s="12" t="str">
        <x:v>Histórico de catalogação das turmalinas rosas em 2026-07-01</x:v>
      </x:c>
      <x:c r="AS97" s="12" t="str">
        <x:v>Precificação individual pendente</x:v>
      </x:c>
      <x:c r="AT97" s="12" t="str">
        <x:v>Registro confirmado por imagens e medidas; a resposta original gerou uma ficha visual, sem avaliação textual estruturada.</x:v>
      </x:c>
    </x:row>
    <x:row r="98">
      <x:c r="A98" s="12" t="str">
        <x:v>DG-TR-017</x:v>
      </x:c>
      <x:c r="B98" s="12" t="str"/>
      <x:c r="C98" s="12" t="str">
        <x:v>Tourmaline Collection</x:v>
      </x:c>
      <x:c r="D98" s="12" t="str">
        <x:v>Turmalinas</x:v>
      </x:c>
      <x:c r="E98" s="12" t="str">
        <x:v>Elbaíta</x:v>
      </x:c>
      <x:c r="F98" s="12" t="str">
        <x:v>Turmalina Rosa</x:v>
      </x:c>
      <x:c r="G98" s="12" t="str">
        <x:v>Gema individual</x:v>
      </x:c>
      <x:c r="H98" s="18" t="n">
        <x:v>1</x:v>
      </x:c>
      <x:c r="I98" s="12" t="str">
        <x:v>Navete / Marquise</x:v>
      </x:c>
      <x:c r="J98" s="12" t="str">
        <x:v>7 x 4 x 2</x:v>
      </x:c>
      <x:c r="K98" s="14" t="n">
        <x:v>0.175</x:v>
      </x:c>
      <x:c r="L98" s="12" t="str">
        <x:v>Sim</x:v>
      </x:c>
      <x:c r="M98" s="12" t="str">
        <x:v>Balança / informado</x:v>
      </x:c>
      <x:c r="N98" s="12" t="str">
        <x:v>Rosa intenso / bubblegum</x:v>
      </x:c>
      <x:c r="O98" s="12" t="str">
        <x:v>Transparente</x:v>
      </x:c>
      <x:c r="P98" s="12" t="str">
        <x:v>Não informada</x:v>
      </x:c>
      <x:c r="Q98" s="12" t="str">
        <x:v>Não avaliado / não informado</x:v>
      </x:c>
      <x:c r="R98" s="12" t="str">
        <x:v>Não</x:v>
      </x:c>
      <x:c r="S98" s="12" t="str"/>
      <x:c r="T98" s="12" t="str"/>
      <x:c r="U98" s="20"/>
      <x:c r="V98" s="20" t="n">
        <x:v>300</x:v>
      </x:c>
      <x:c r="W98" s="20" t="n">
        <x:v>500</x:v>
      </x:c>
      <x:c r="X98" s="20" t="n">
        <x:v>650</x:v>
      </x:c>
      <x:c r="Y98" s="20" t="n">
        <x:v>1100</x:v>
      </x:c>
      <x:c r="Z98" s="20" t="n">
        <x:v>2500</x:v>
      </x:c>
      <x:c r="AA98" s="20" t="n">
        <x:v>4500</x:v>
      </x:c>
      <x:c r="AB98" s="12" t="str">
        <x:v>Registrado no histórico</x:v>
      </x:c>
      <x:c r="AC98" s="16" t="n">
        <x:v>9.2</x:v>
      </x:c>
      <x:c r="AD98" s="12" t="str">
        <x:v>A</x:v>
      </x:c>
      <x:c r="AE98" s="12" t="str">
        <x:v>Média</x:v>
      </x:c>
      <x:c r="AF98" s="12" t="str">
        <x:v>Anel, brinco ou pingente premium delicado</x:v>
      </x:c>
      <x:c r="AG98" s="12" t="str">
        <x:v>Coleção / Joalheria</x:v>
      </x:c>
      <x:c r="AH98" s="12" t="str">
        <x:v>Coleção</x:v>
      </x:c>
      <x:c r="AI98" s="12" t="str">
        <x:v>TR-01</x:v>
      </x:c>
      <x:c r="AJ98" s="12" t="str">
        <x:v>TR-09</x:v>
      </x:c>
      <x:c r="AK98" s="12" t="str">
        <x:v>A</x:v>
      </x:c>
      <x:c r="AL98" s="12" t="str">
        <x:v>Caixa TR-01 / Envelope TR-09 / Posição A</x:v>
      </x:c>
      <x:c r="AM98" s="12" t="str">
        <x:v>Sugerida</x:v>
      </x:c>
      <x:c r="AN98" s="12" t="str">
        <x:v>IMG_C5C9600D-0C4B-4983-BEB1-63A4C0588871.jpeg</x:v>
      </x:c>
      <x:c r="AO98" s="12" t="str">
        <x:v>2026-07-01</x:v>
      </x:c>
      <x:c r="AP98" s="12" t="str">
        <x:v>2026-07-19</x:v>
      </x:c>
      <x:c r="AQ98" s="12" t="str">
        <x:v>Alta</x:v>
      </x:c>
      <x:c r="AR98" s="12" t="str">
        <x:v>Histórico de catalogação das turmalinas rosas em 2026-07-01</x:v>
      </x:c>
      <x:c r="AS98" s="12" t="str">
        <x:v>Avaliar certificação</x:v>
      </x:c>
      <x:c r="AT98" s="12" t="str">
        <x:v>Excelente saturação e retorno de luz para o peso.</x:v>
      </x:c>
    </x:row>
    <x:row r="99">
      <x:c r="A99" s="12" t="str">
        <x:v>DG-TR-018</x:v>
      </x:c>
      <x:c r="B99" s="12" t="str"/>
      <x:c r="C99" s="12" t="str">
        <x:v>Tourmaline Collection</x:v>
      </x:c>
      <x:c r="D99" s="12" t="str">
        <x:v>Turmalinas</x:v>
      </x:c>
      <x:c r="E99" s="12" t="str">
        <x:v>Elbaíta</x:v>
      </x:c>
      <x:c r="F99" s="12" t="str">
        <x:v>Turmalina Rosa</x:v>
      </x:c>
      <x:c r="G99" s="12" t="str">
        <x:v>Gema individual</x:v>
      </x:c>
      <x:c r="H99" s="18" t="n">
        <x:v>1</x:v>
      </x:c>
      <x:c r="I99" s="12" t="str">
        <x:v>Navete / Marquise</x:v>
      </x:c>
      <x:c r="J99" s="12" t="str">
        <x:v>7 x 4 x 2</x:v>
      </x:c>
      <x:c r="K99" s="14" t="n">
        <x:v>0.175</x:v>
      </x:c>
      <x:c r="L99" s="12" t="str">
        <x:v>Sim</x:v>
      </x:c>
      <x:c r="M99" s="12" t="str">
        <x:v>Balança / informado</x:v>
      </x:c>
      <x:c r="N99" s="12" t="str">
        <x:v>Rosa intenso e homogêneo</x:v>
      </x:c>
      <x:c r="O99" s="12" t="str">
        <x:v>Transparente</x:v>
      </x:c>
      <x:c r="P99" s="12" t="str">
        <x:v>Não informada</x:v>
      </x:c>
      <x:c r="Q99" s="12" t="str">
        <x:v>Não avaliado / não informado</x:v>
      </x:c>
      <x:c r="R99" s="12" t="str">
        <x:v>Não</x:v>
      </x:c>
      <x:c r="S99" s="12" t="str"/>
      <x:c r="T99" s="12" t="str"/>
      <x:c r="U99" s="20"/>
      <x:c r="V99" s="20"/>
      <x:c r="W99" s="20"/>
      <x:c r="X99" s="20"/>
      <x:c r="Y99" s="20"/>
      <x:c r="Z99" s="20"/>
      <x:c r="AA99" s="20"/>
      <x:c r="AB99" s="12" t="str">
        <x:v>Pendente de precificação individual</x:v>
      </x:c>
      <x:c r="AC99" s="16" t="n">
        <x:v>9.3</x:v>
      </x:c>
      <x:c r="AD99" s="12" t="str">
        <x:v>A</x:v>
      </x:c>
      <x:c r="AE99" s="12" t="str">
        <x:v>Média</x:v>
      </x:c>
      <x:c r="AF99" s="12" t="str">
        <x:v>Par visual com DG-TR-017 / joia premium</x:v>
      </x:c>
      <x:c r="AG99" s="12" t="str">
        <x:v>Coleção / Joalheria</x:v>
      </x:c>
      <x:c r="AH99" s="12" t="str">
        <x:v>Coleção</x:v>
      </x:c>
      <x:c r="AI99" s="12" t="str">
        <x:v>TR-01</x:v>
      </x:c>
      <x:c r="AJ99" s="12" t="str">
        <x:v>TR-09</x:v>
      </x:c>
      <x:c r="AK99" s="12" t="str">
        <x:v>B</x:v>
      </x:c>
      <x:c r="AL99" s="12" t="str">
        <x:v>Caixa TR-01 / Envelope TR-09 / Posição B</x:v>
      </x:c>
      <x:c r="AM99" s="12" t="str">
        <x:v>Sugerida</x:v>
      </x:c>
      <x:c r="AN99" s="12" t="str">
        <x:v>IMG_ACCA8D7D-3DFD-418F-910C-5A4257A09779.jpeg</x:v>
      </x:c>
      <x:c r="AO99" s="12" t="str">
        <x:v>2026-07-01</x:v>
      </x:c>
      <x:c r="AP99" s="12" t="str">
        <x:v>2026-07-19</x:v>
      </x:c>
      <x:c r="AQ99" s="12" t="str">
        <x:v>Alta</x:v>
      </x:c>
      <x:c r="AR99" s="12" t="str">
        <x:v>Histórico de catalogação das turmalinas rosas em 2026-07-01</x:v>
      </x:c>
      <x:c r="AS99" s="12" t="str">
        <x:v>Avaliar certificação; Precificação individual pendente</x:v>
      </x:c>
      <x:c r="AT99" s="12" t="str">
        <x:v>Pedra distinta da DG-TR-017, apesar do mesmo peso e medidas; faixa de valor individual não foi formalizada no histórico.</x:v>
      </x:c>
    </x:row>
    <x:row r="100">
      <x:c r="A100" s="12" t="str">
        <x:v>DG-TR-019</x:v>
      </x:c>
      <x:c r="B100" s="12" t="str"/>
      <x:c r="C100" s="12" t="str">
        <x:v>Tourmaline Collection</x:v>
      </x:c>
      <x:c r="D100" s="12" t="str">
        <x:v>Turmalinas</x:v>
      </x:c>
      <x:c r="E100" s="12" t="str">
        <x:v>Elbaíta</x:v>
      </x:c>
      <x:c r="F100" s="12" t="str">
        <x:v>Turmalina Rosa</x:v>
      </x:c>
      <x:c r="G100" s="12" t="str">
        <x:v>Gema individual</x:v>
      </x:c>
      <x:c r="H100" s="18" t="n">
        <x:v>1</x:v>
      </x:c>
      <x:c r="I100" s="12" t="str">
        <x:v>Navete / Marquise alongada</x:v>
      </x:c>
      <x:c r="J100" s="12" t="str">
        <x:v>12 x 4 x 2</x:v>
      </x:c>
      <x:c r="K100" s="14" t="n">
        <x:v>0.315</x:v>
      </x:c>
      <x:c r="L100" s="12" t="str">
        <x:v>Sim</x:v>
      </x:c>
      <x:c r="M100" s="12" t="str">
        <x:v>Balança / informado</x:v>
      </x:c>
      <x:c r="N100" s="12" t="str">
        <x:v>Rosa claro a médio</x:v>
      </x:c>
      <x:c r="O100" s="12" t="str">
        <x:v>Transparente</x:v>
      </x:c>
      <x:c r="P100" s="12" t="str">
        <x:v>Não informada</x:v>
      </x:c>
      <x:c r="Q100" s="12" t="str">
        <x:v>Não avaliado / não informado</x:v>
      </x:c>
      <x:c r="R100" s="12" t="str">
        <x:v>Não</x:v>
      </x:c>
      <x:c r="S100" s="12" t="str"/>
      <x:c r="T100" s="12" t="str"/>
      <x:c r="U100" s="20"/>
      <x:c r="V100" s="20" t="n">
        <x:v>280</x:v>
      </x:c>
      <x:c r="W100" s="20" t="n">
        <x:v>500</x:v>
      </x:c>
      <x:c r="X100" s="20" t="n">
        <x:v>700</x:v>
      </x:c>
      <x:c r="Y100" s="20" t="n">
        <x:v>1300</x:v>
      </x:c>
      <x:c r="Z100" s="20" t="n">
        <x:v>3000</x:v>
      </x:c>
      <x:c r="AA100" s="20" t="n">
        <x:v>6000</x:v>
      </x:c>
      <x:c r="AB100" s="12" t="str">
        <x:v>Registrado no histórico</x:v>
      </x:c>
      <x:c r="AC100" s="16" t="n">
        <x:v>8.9</x:v>
      </x:c>
      <x:c r="AD100" s="12" t="str">
        <x:v>A-</x:v>
      </x:c>
      <x:c r="AE100" s="12" t="str">
        <x:v>Média</x:v>
      </x:c>
      <x:c r="AF100" s="12" t="str">
        <x:v>Pingente vertical, anel ou broche</x:v>
      </x:c>
      <x:c r="AG100" s="12" t="str">
        <x:v>Coleção / Joalheria</x:v>
      </x:c>
      <x:c r="AH100" s="12" t="str">
        <x:v>Coleção</x:v>
      </x:c>
      <x:c r="AI100" s="12" t="str">
        <x:v>TR-01</x:v>
      </x:c>
      <x:c r="AJ100" s="12" t="str">
        <x:v>TR-10</x:v>
      </x:c>
      <x:c r="AK100" s="12" t="str">
        <x:v>A</x:v>
      </x:c>
      <x:c r="AL100" s="12" t="str">
        <x:v>Caixa TR-01 / Envelope TR-10 / Posição A</x:v>
      </x:c>
      <x:c r="AM100" s="12" t="str">
        <x:v>Sugerida</x:v>
      </x:c>
      <x:c r="AN100" s="12" t="str">
        <x:v>IMG_4556D5E3-FEEF-42F1-95CD-F85C246AAB35.jpeg</x:v>
      </x:c>
      <x:c r="AO100" s="12" t="str">
        <x:v>2026-07-01</x:v>
      </x:c>
      <x:c r="AP100" s="12" t="str">
        <x:v>2026-07-19</x:v>
      </x:c>
      <x:c r="AQ100" s="12" t="str">
        <x:v>Alta</x:v>
      </x:c>
      <x:c r="AR100" s="12" t="str">
        <x:v>Histórico de catalogação das turmalinas rosas em 2026-07-01</x:v>
      </x:c>
      <x:c r="AS100" s="12" t="str">
        <x:v>Avaliar certificação</x:v>
      </x:c>
      <x:c r="AT100" s="12" t="str">
        <x:v>Formato longo; inclusão alaranjada evidente próxima a uma extremidade.</x:v>
      </x:c>
    </x:row>
    <x:row r="101">
      <x:c r="A101" s="12" t="str">
        <x:v>DG-TR-020</x:v>
      </x:c>
      <x:c r="B101" s="12" t="str"/>
      <x:c r="C101" s="12" t="str">
        <x:v>Tourmaline Collection</x:v>
      </x:c>
      <x:c r="D101" s="12" t="str">
        <x:v>Turmalinas</x:v>
      </x:c>
      <x:c r="E101" s="12" t="str">
        <x:v>Elbaíta</x:v>
      </x:c>
      <x:c r="F101" s="12" t="str">
        <x:v>Turmalina Rosa</x:v>
      </x:c>
      <x:c r="G101" s="12" t="str">
        <x:v>Gema individual</x:v>
      </x:c>
      <x:c r="H101" s="18" t="n">
        <x:v>1</x:v>
      </x:c>
      <x:c r="I101" s="12" t="str">
        <x:v>Navete / Marquise muito alongada</x:v>
      </x:c>
      <x:c r="J101" s="12" t="str">
        <x:v>13 x 3,5 x 1,5</x:v>
      </x:c>
      <x:c r="K101" s="14" t="n">
        <x:v>0.29</x:v>
      </x:c>
      <x:c r="L101" s="12" t="str">
        <x:v>Sim</x:v>
      </x:c>
      <x:c r="M101" s="12" t="str">
        <x:v>Balança / informado</x:v>
      </x:c>
      <x:c r="N101" s="12" t="str">
        <x:v>Rosa claro delicado</x:v>
      </x:c>
      <x:c r="O101" s="12" t="str">
        <x:v>Transparente</x:v>
      </x:c>
      <x:c r="P101" s="12" t="str">
        <x:v>Não informada</x:v>
      </x:c>
      <x:c r="Q101" s="12" t="str">
        <x:v>Não avaliado / não informado</x:v>
      </x:c>
      <x:c r="R101" s="12" t="str">
        <x:v>Não</x:v>
      </x:c>
      <x:c r="S101" s="12" t="str"/>
      <x:c r="T101" s="12" t="str"/>
      <x:c r="U101" s="20"/>
      <x:c r="V101" s="20" t="n">
        <x:v>250</x:v>
      </x:c>
      <x:c r="W101" s="20" t="n">
        <x:v>450</x:v>
      </x:c>
      <x:c r="X101" s="20" t="n">
        <x:v>650</x:v>
      </x:c>
      <x:c r="Y101" s="20" t="n">
        <x:v>1200</x:v>
      </x:c>
      <x:c r="Z101" s="20" t="n">
        <x:v>3000</x:v>
      </x:c>
      <x:c r="AA101" s="20" t="n">
        <x:v>5500</x:v>
      </x:c>
      <x:c r="AB101" s="12" t="str">
        <x:v>Registrado no histórico</x:v>
      </x:c>
      <x:c r="AC101" s="16" t="n">
        <x:v>8.9</x:v>
      </x:c>
      <x:c r="AD101" s="12" t="str">
        <x:v>A-</x:v>
      </x:c>
      <x:c r="AE101" s="12" t="str">
        <x:v>Média</x:v>
      </x:c>
      <x:c r="AF101" s="12" t="str">
        <x:v>Pingente vertical ou anel minimalista</x:v>
      </x:c>
      <x:c r="AG101" s="12" t="str">
        <x:v>Coleção / Joalheria</x:v>
      </x:c>
      <x:c r="AH101" s="12" t="str">
        <x:v>Coleção</x:v>
      </x:c>
      <x:c r="AI101" s="12" t="str">
        <x:v>TR-01</x:v>
      </x:c>
      <x:c r="AJ101" s="12" t="str">
        <x:v>TR-10</x:v>
      </x:c>
      <x:c r="AK101" s="12" t="str">
        <x:v>B</x:v>
      </x:c>
      <x:c r="AL101" s="12" t="str">
        <x:v>Caixa TR-01 / Envelope TR-10 / Posição B</x:v>
      </x:c>
      <x:c r="AM101" s="12" t="str">
        <x:v>Sugerida</x:v>
      </x:c>
      <x:c r="AN101" s="12" t="str">
        <x:v>IMG_C96CA730-5E9C-4032-8FBD-14ECD44F8357.jpeg</x:v>
      </x:c>
      <x:c r="AO101" s="12" t="str">
        <x:v>2026-07-01</x:v>
      </x:c>
      <x:c r="AP101" s="12" t="str">
        <x:v>2026-07-19</x:v>
      </x:c>
      <x:c r="AQ101" s="12" t="str">
        <x:v>Alta</x:v>
      </x:c>
      <x:c r="AR101" s="12" t="str">
        <x:v>Histórico de catalogação das turmalinas rosas em 2026-07-01</x:v>
      </x:c>
      <x:c r="AS101" s="12" t="str">
        <x:v>Avaliar certificação</x:v>
      </x:c>
      <x:c r="AT101" s="12" t="str">
        <x:v>Extremamente rasa e elegante; possível janela grande, mas formato raro.</x:v>
      </x:c>
    </x:row>
    <x:row r="102">
      <x:c r="A102" s="12" t="str">
        <x:v>DG-TR-023</x:v>
      </x:c>
      <x:c r="B102" s="12" t="str">
        <x:v>DG-TR-001 (master de 01/07/2026)</x:v>
      </x:c>
      <x:c r="C102" s="12" t="str">
        <x:v>Tourmaline Collection</x:v>
      </x:c>
      <x:c r="D102" s="12" t="str">
        <x:v>Turmalinas</x:v>
      </x:c>
      <x:c r="E102" s="12" t="str">
        <x:v>Elbaíta</x:v>
      </x:c>
      <x:c r="F102" s="12" t="str">
        <x:v>Turmalina Rosa</x:v>
      </x:c>
      <x:c r="G102" s="12" t="str">
        <x:v>Gema individual</x:v>
      </x:c>
      <x:c r="H102" s="18" t="n">
        <x:v>1</x:v>
      </x:c>
      <x:c r="I102" s="12" t="str">
        <x:v>Coração</x:v>
      </x:c>
      <x:c r="J102" s="12" t="str">
        <x:v>11.2 x 9.6</x:v>
      </x:c>
      <x:c r="K102" s="14" t="n">
        <x:v>3.72</x:v>
      </x:c>
      <x:c r="L102" s="12" t="str">
        <x:v>Sim</x:v>
      </x:c>
      <x:c r="M102" s="12" t="str">
        <x:v>Fornecedor</x:v>
      </x:c>
      <x:c r="N102" s="12" t="str">
        <x:v>Rosa intenso</x:v>
      </x:c>
      <x:c r="O102" s="12" t="str">
        <x:v>Transparente</x:v>
      </x:c>
      <x:c r="P102" s="12" t="str">
        <x:v>Brasil</x:v>
      </x:c>
      <x:c r="Q102" s="12" t="str">
        <x:v>Não avaliado / não informado</x:v>
      </x:c>
      <x:c r="R102" s="12" t="str">
        <x:v>Não</x:v>
      </x:c>
      <x:c r="S102" s="12" t="str"/>
      <x:c r="T102" s="12" t="str"/>
      <x:c r="U102" s="20" t="n">
        <x:v>1129</x:v>
      </x:c>
      <x:c r="V102" s="20" t="n">
        <x:v>2800</x:v>
      </x:c>
      <x:c r="W102" s="20" t="n">
        <x:v>4200</x:v>
      </x:c>
      <x:c r="X102" s="20" t="n">
        <x:v>2800</x:v>
      </x:c>
      <x:c r="Y102" s="20" t="n">
        <x:v>4200</x:v>
      </x:c>
      <x:c r="Z102" s="20" t="n">
        <x:v>8000</x:v>
      </x:c>
      <x:c r="AA102" s="20" t="n">
        <x:v>16000</x:v>
      </x:c>
      <x:c r="AB102" s="12" t="str">
        <x:v>Registrado no histórico</x:v>
      </x:c>
      <x:c r="AC102" s="16" t="n">
        <x:v>9</x:v>
      </x:c>
      <x:c r="AD102" s="12" t="str">
        <x:v>A</x:v>
      </x:c>
      <x:c r="AE102" s="12" t="str">
        <x:v>Média</x:v>
      </x:c>
      <x:c r="AF102" s="12" t="str">
        <x:v>Anel de destaque / pingente coração</x:v>
      </x:c>
      <x:c r="AG102" s="12" t="str">
        <x:v>Anel de destaque / pingente coração</x:v>
      </x:c>
      <x:c r="AH102" s="12" t="str">
        <x:v>Coleção</x:v>
      </x:c>
      <x:c r="AI102" s="12" t="str"/>
      <x:c r="AJ102" s="12" t="str"/>
      <x:c r="AK102" s="12" t="str"/>
      <x:c r="AL102" s="12" t="str"/>
      <x:c r="AM102" s="12" t="str">
        <x:v>Não informado</x:v>
      </x:c>
      <x:c r="AN102" s="12" t="str"/>
      <x:c r="AO102" s="12" t="str">
        <x:v>2026-07-01</x:v>
      </x:c>
      <x:c r="AP102" s="12" t="str">
        <x:v>2026-07-19</x:v>
      </x:c>
      <x:c r="AQ102" s="12" t="str">
        <x:v>Alta</x:v>
      </x:c>
      <x:c r="AR102" s="12" t="str">
        <x:v>Inventário mestre completo atualizado em 2026-07-01</x:v>
      </x:c>
      <x:c r="AS102" s="12" t="str">
        <x:v>Avaliar certificação</x:v>
      </x:c>
      <x:c r="AT102" s="12" t="str">
        <x:v>Código renumerado para DG-TR-023 para preservar a sequência oficial DG-TR-001 a DG-TR-022 das turmalinas rosas pequenas, sem perder o código legado.</x:v>
      </x:c>
    </x:row>
    <x:row r="103">
      <x:c r="A103" s="12" t="str">
        <x:v>DG-RB-001</x:v>
      </x:c>
      <x:c r="B103" s="12" t="str"/>
      <x:c r="C103" s="12" t="str">
        <x:v>Ruby/Corundum Collection</x:v>
      </x:c>
      <x:c r="D103" s="12" t="str">
        <x:v>Coríndons</x:v>
      </x:c>
      <x:c r="E103" s="12" t="str">
        <x:v>Coríndon</x:v>
      </x:c>
      <x:c r="F103" s="12" t="str">
        <x:v>Rubi brasileiro provisório</x:v>
      </x:c>
      <x:c r="G103" s="12" t="str">
        <x:v>Gema individual</x:v>
      </x:c>
      <x:c r="H103" s="18" t="n">
        <x:v>1</x:v>
      </x:c>
      <x:c r="I103" s="12" t="str">
        <x:v>Cushion</x:v>
      </x:c>
      <x:c r="J103" s="12" t="str">
        <x:v>12 x 10 x 5</x:v>
      </x:c>
      <x:c r="K103" s="14" t="n">
        <x:v>7.13</x:v>
      </x:c>
      <x:c r="L103" s="12" t="str">
        <x:v>Sim</x:v>
      </x:c>
      <x:c r="M103" s="12" t="str">
        <x:v>Balança / informado</x:v>
      </x:c>
      <x:c r="N103" s="12" t="str">
        <x:v>Rosa avermelhado</x:v>
      </x:c>
      <x:c r="O103" s="12" t="str">
        <x:v>Translúcida</x:v>
      </x:c>
      <x:c r="P103" s="12" t="str">
        <x:v>Bahia</x:v>
      </x:c>
      <x:c r="Q103" s="12" t="str">
        <x:v>Não avaliado / não informado</x:v>
      </x:c>
      <x:c r="R103" s="12" t="str">
        <x:v>Não</x:v>
      </x:c>
      <x:c r="S103" s="12" t="str"/>
      <x:c r="T103" s="12" t="str"/>
      <x:c r="U103" s="20"/>
      <x:c r="V103" s="20"/>
      <x:c r="W103" s="20"/>
      <x:c r="X103" s="20"/>
      <x:c r="Y103" s="20"/>
      <x:c r="Z103" s="20"/>
      <x:c r="AA103" s="20"/>
      <x:c r="AB103" s="12" t="str">
        <x:v>Pendente de precificação individual</x:v>
      </x:c>
      <x:c r="AC103" s="16" t="n">
        <x:v>5.5</x:v>
      </x:c>
      <x:c r="AD103" s="12" t="str">
        <x:v>C</x:v>
      </x:c>
      <x:c r="AE103" s="12" t="str">
        <x:v>Média</x:v>
      </x:c>
      <x:c r="AF103" s="12" t="str">
        <x:v>Anel, pingente ou joia comercial</x:v>
      </x:c>
      <x:c r="AG103" s="12" t="str">
        <x:v>Anel, pingente ou joia comercial</x:v>
      </x:c>
      <x:c r="AH103" s="12" t="str">
        <x:v>Coleção</x:v>
      </x:c>
      <x:c r="AI103" s="12" t="str"/>
      <x:c r="AJ103" s="12" t="str"/>
      <x:c r="AK103" s="12" t="str"/>
      <x:c r="AL103" s="12" t="str"/>
      <x:c r="AM103" s="12" t="str">
        <x:v>Não informado</x:v>
      </x:c>
      <x:c r="AN103" s="12" t="str"/>
      <x:c r="AO103" s="12" t="str">
        <x:v>2026-07-01</x:v>
      </x:c>
      <x:c r="AP103" s="12" t="str">
        <x:v>2026-07-19</x:v>
      </x:c>
      <x:c r="AQ103" s="12" t="str">
        <x:v>Alta</x:v>
      </x:c>
      <x:c r="AR103" s="12" t="str">
        <x:v>Inventário mestre completo atualizado em 2026-07-01</x:v>
      </x:c>
      <x:c r="AS103" s="12" t="str">
        <x:v>Confirmar identificação em laboratório; Avaliar certificação; Precificação individual pendente</x:v>
      </x:c>
      <x:c r="AT103" s="12" t="str">
        <x:v>Identificação visual; lote total comprado por R$1.100; confirmar em laboratório. Peso oficial atualizado: 7.130 ct.</x:v>
      </x:c>
    </x:row>
    <x:row r="104">
      <x:c r="A104" s="12" t="str">
        <x:v>DG-RB-002</x:v>
      </x:c>
      <x:c r="B104" s="12" t="str"/>
      <x:c r="C104" s="12" t="str">
        <x:v>Ruby/Corundum Collection</x:v>
      </x:c>
      <x:c r="D104" s="12" t="str">
        <x:v>Coríndons</x:v>
      </x:c>
      <x:c r="E104" s="12" t="str">
        <x:v>Coríndon</x:v>
      </x:c>
      <x:c r="F104" s="12" t="str">
        <x:v>Rubi brasileiro provisório</x:v>
      </x:c>
      <x:c r="G104" s="12" t="str">
        <x:v>Gema individual</x:v>
      </x:c>
      <x:c r="H104" s="18" t="n">
        <x:v>1</x:v>
      </x:c>
      <x:c r="I104" s="12" t="str">
        <x:v>Octogonal/Emerald Cut</x:v>
      </x:c>
      <x:c r="J104" s="12" t="str">
        <x:v>12 x 9 x 5</x:v>
      </x:c>
      <x:c r="K104" s="14" t="n">
        <x:v>5</x:v>
      </x:c>
      <x:c r="L104" s="12" t="str">
        <x:v>Sim</x:v>
      </x:c>
      <x:c r="M104" s="12" t="str">
        <x:v>Balança / informado</x:v>
      </x:c>
      <x:c r="N104" s="12" t="str">
        <x:v>Rosa avermelhado</x:v>
      </x:c>
      <x:c r="O104" s="12" t="str">
        <x:v>Translúcida</x:v>
      </x:c>
      <x:c r="P104" s="12" t="str">
        <x:v>Bahia</x:v>
      </x:c>
      <x:c r="Q104" s="12" t="str">
        <x:v>Não avaliado / não informado</x:v>
      </x:c>
      <x:c r="R104" s="12" t="str">
        <x:v>Não</x:v>
      </x:c>
      <x:c r="S104" s="12" t="str"/>
      <x:c r="T104" s="12" t="str"/>
      <x:c r="U104" s="20"/>
      <x:c r="V104" s="20"/>
      <x:c r="W104" s="20"/>
      <x:c r="X104" s="20"/>
      <x:c r="Y104" s="20"/>
      <x:c r="Z104" s="20"/>
      <x:c r="AA104" s="20"/>
      <x:c r="AB104" s="12" t="str">
        <x:v>Pendente de precificação individual</x:v>
      </x:c>
      <x:c r="AC104" s="16" t="n">
        <x:v>6.5</x:v>
      </x:c>
      <x:c r="AD104" s="12" t="str">
        <x:v>B/C</x:v>
      </x:c>
      <x:c r="AE104" s="12" t="str">
        <x:v>Média</x:v>
      </x:c>
      <x:c r="AF104" s="12" t="str">
        <x:v>Anel, pingente ou joia comercial</x:v>
      </x:c>
      <x:c r="AG104" s="12" t="str">
        <x:v>Anel, pingente ou joia comercial</x:v>
      </x:c>
      <x:c r="AH104" s="12" t="str">
        <x:v>Coleção</x:v>
      </x:c>
      <x:c r="AI104" s="12" t="str"/>
      <x:c r="AJ104" s="12" t="str"/>
      <x:c r="AK104" s="12" t="str"/>
      <x:c r="AL104" s="12" t="str"/>
      <x:c r="AM104" s="12" t="str">
        <x:v>Não informado</x:v>
      </x:c>
      <x:c r="AN104" s="12" t="str"/>
      <x:c r="AO104" s="12" t="str">
        <x:v>2026-07-01</x:v>
      </x:c>
      <x:c r="AP104" s="12" t="str">
        <x:v>2026-07-19</x:v>
      </x:c>
      <x:c r="AQ104" s="12" t="str">
        <x:v>Alta</x:v>
      </x:c>
      <x:c r="AR104" s="12" t="str">
        <x:v>Inventário mestre completo atualizado em 2026-07-01</x:v>
      </x:c>
      <x:c r="AS104" s="12" t="str">
        <x:v>Confirmar identificação em laboratório; Avaliar certificação; Precificação individual pendente</x:v>
      </x:c>
      <x:c r="AT104" s="12" t="str">
        <x:v>Identificação visual; lote total comprado por R$1.100; confirmar em laboratório. Peso oficial atualizado: 5.000 ct.</x:v>
      </x:c>
    </x:row>
    <x:row r="105">
      <x:c r="A105" s="12" t="str">
        <x:v>DG-RB-003</x:v>
      </x:c>
      <x:c r="B105" s="12" t="str"/>
      <x:c r="C105" s="12" t="str">
        <x:v>Ruby/Corundum Collection</x:v>
      </x:c>
      <x:c r="D105" s="12" t="str">
        <x:v>Coríndons</x:v>
      </x:c>
      <x:c r="E105" s="12" t="str">
        <x:v>Coríndon</x:v>
      </x:c>
      <x:c r="F105" s="12" t="str">
        <x:v>Rubi brasileiro provisório</x:v>
      </x:c>
      <x:c r="G105" s="12" t="str">
        <x:v>Gema individual</x:v>
      </x:c>
      <x:c r="H105" s="18" t="n">
        <x:v>1</x:v>
      </x:c>
      <x:c r="I105" s="12" t="str">
        <x:v>Cushion</x:v>
      </x:c>
      <x:c r="J105" s="12" t="str">
        <x:v>8 x 7 x 4</x:v>
      </x:c>
      <x:c r="K105" s="14" t="n">
        <x:v>2.96</x:v>
      </x:c>
      <x:c r="L105" s="12" t="str">
        <x:v>Sim</x:v>
      </x:c>
      <x:c r="M105" s="12" t="str">
        <x:v>Balança / informado</x:v>
      </x:c>
      <x:c r="N105" s="12" t="str">
        <x:v>Rosa avermelhado</x:v>
      </x:c>
      <x:c r="O105" s="12" t="str">
        <x:v>Translúcida</x:v>
      </x:c>
      <x:c r="P105" s="12" t="str">
        <x:v>Bahia</x:v>
      </x:c>
      <x:c r="Q105" s="12" t="str">
        <x:v>Não avaliado / não informado</x:v>
      </x:c>
      <x:c r="R105" s="12" t="str">
        <x:v>Não</x:v>
      </x:c>
      <x:c r="S105" s="12" t="str"/>
      <x:c r="T105" s="12" t="str"/>
      <x:c r="U105" s="20"/>
      <x:c r="V105" s="20"/>
      <x:c r="W105" s="20"/>
      <x:c r="X105" s="20"/>
      <x:c r="Y105" s="20"/>
      <x:c r="Z105" s="20"/>
      <x:c r="AA105" s="20"/>
      <x:c r="AB105" s="12" t="str">
        <x:v>Pendente de precificação individual</x:v>
      </x:c>
      <x:c r="AC105" s="16" t="n">
        <x:v>6.3</x:v>
      </x:c>
      <x:c r="AD105" s="12" t="str">
        <x:v>B</x:v>
      </x:c>
      <x:c r="AE105" s="12" t="str">
        <x:v>Média</x:v>
      </x:c>
      <x:c r="AF105" s="12" t="str">
        <x:v>Anel, pingente ou joia comercial</x:v>
      </x:c>
      <x:c r="AG105" s="12" t="str">
        <x:v>Anel, pingente ou joia comercial</x:v>
      </x:c>
      <x:c r="AH105" s="12" t="str">
        <x:v>Coleção</x:v>
      </x:c>
      <x:c r="AI105" s="12" t="str"/>
      <x:c r="AJ105" s="12" t="str"/>
      <x:c r="AK105" s="12" t="str"/>
      <x:c r="AL105" s="12" t="str"/>
      <x:c r="AM105" s="12" t="str">
        <x:v>Não informado</x:v>
      </x:c>
      <x:c r="AN105" s="12" t="str"/>
      <x:c r="AO105" s="12" t="str">
        <x:v>2026-07-01</x:v>
      </x:c>
      <x:c r="AP105" s="12" t="str">
        <x:v>2026-07-19</x:v>
      </x:c>
      <x:c r="AQ105" s="12" t="str">
        <x:v>Alta</x:v>
      </x:c>
      <x:c r="AR105" s="12" t="str">
        <x:v>Inventário mestre completo atualizado em 2026-07-01</x:v>
      </x:c>
      <x:c r="AS105" s="12" t="str">
        <x:v>Confirmar identificação em laboratório; Avaliar certificação; Precificação individual pendente</x:v>
      </x:c>
      <x:c r="AT105" s="12" t="str">
        <x:v>Identificação visual; lote total comprado por R$1.100; confirmar em laboratório. Peso oficial atualizado: 2.960 ct.</x:v>
      </x:c>
    </x:row>
    <x:row r="106">
      <x:c r="A106" s="12" t="str">
        <x:v>DG-RB-004</x:v>
      </x:c>
      <x:c r="B106" s="12" t="str"/>
      <x:c r="C106" s="12" t="str">
        <x:v>Ruby/Corundum Collection</x:v>
      </x:c>
      <x:c r="D106" s="12" t="str">
        <x:v>Coríndons</x:v>
      </x:c>
      <x:c r="E106" s="12" t="str">
        <x:v>Coríndon</x:v>
      </x:c>
      <x:c r="F106" s="12" t="str">
        <x:v>Rubi brasileiro provisório</x:v>
      </x:c>
      <x:c r="G106" s="12" t="str">
        <x:v>Gema individual</x:v>
      </x:c>
      <x:c r="H106" s="18" t="n">
        <x:v>1</x:v>
      </x:c>
      <x:c r="I106" s="12" t="str">
        <x:v>Quadrada/Octogonal</x:v>
      </x:c>
      <x:c r="J106" s="12" t="str">
        <x:v>9 x 9 x 4</x:v>
      </x:c>
      <x:c r="K106" s="14" t="n">
        <x:v>4.205</x:v>
      </x:c>
      <x:c r="L106" s="12" t="str">
        <x:v>Sim</x:v>
      </x:c>
      <x:c r="M106" s="12" t="str">
        <x:v>Balança / informado</x:v>
      </x:c>
      <x:c r="N106" s="12" t="str">
        <x:v>Rosa avermelhado</x:v>
      </x:c>
      <x:c r="O106" s="12" t="str">
        <x:v>Translúcida</x:v>
      </x:c>
      <x:c r="P106" s="12" t="str">
        <x:v>Bahia</x:v>
      </x:c>
      <x:c r="Q106" s="12" t="str">
        <x:v>Não avaliado / não informado</x:v>
      </x:c>
      <x:c r="R106" s="12" t="str">
        <x:v>Não</x:v>
      </x:c>
      <x:c r="S106" s="12" t="str"/>
      <x:c r="T106" s="12" t="str"/>
      <x:c r="U106" s="20"/>
      <x:c r="V106" s="20"/>
      <x:c r="W106" s="20"/>
      <x:c r="X106" s="20"/>
      <x:c r="Y106" s="20"/>
      <x:c r="Z106" s="20"/>
      <x:c r="AA106" s="20"/>
      <x:c r="AB106" s="12" t="str">
        <x:v>Pendente de precificação individual</x:v>
      </x:c>
      <x:c r="AC106" s="16" t="n">
        <x:v>6.1</x:v>
      </x:c>
      <x:c r="AD106" s="12" t="str">
        <x:v>B-</x:v>
      </x:c>
      <x:c r="AE106" s="12" t="str">
        <x:v>Média</x:v>
      </x:c>
      <x:c r="AF106" s="12" t="str">
        <x:v>Anel, pingente ou joia comercial</x:v>
      </x:c>
      <x:c r="AG106" s="12" t="str">
        <x:v>Anel, pingente ou joia comercial</x:v>
      </x:c>
      <x:c r="AH106" s="12" t="str">
        <x:v>Coleção</x:v>
      </x:c>
      <x:c r="AI106" s="12" t="str"/>
      <x:c r="AJ106" s="12" t="str"/>
      <x:c r="AK106" s="12" t="str"/>
      <x:c r="AL106" s="12" t="str"/>
      <x:c r="AM106" s="12" t="str">
        <x:v>Não informado</x:v>
      </x:c>
      <x:c r="AN106" s="12" t="str"/>
      <x:c r="AO106" s="12" t="str">
        <x:v>2026-07-01</x:v>
      </x:c>
      <x:c r="AP106" s="12" t="str">
        <x:v>2026-07-19</x:v>
      </x:c>
      <x:c r="AQ106" s="12" t="str">
        <x:v>Alta</x:v>
      </x:c>
      <x:c r="AR106" s="12" t="str">
        <x:v>Inventário mestre completo atualizado em 2026-07-01</x:v>
      </x:c>
      <x:c r="AS106" s="12" t="str">
        <x:v>Confirmar identificação em laboratório; Avaliar certificação; Precificação individual pendente</x:v>
      </x:c>
      <x:c r="AT106" s="12" t="str">
        <x:v>Identificação visual; lote total comprado por R$1.100; confirmar em laboratório. Peso oficial atualizado: 4.205 ct.</x:v>
      </x:c>
    </x:row>
    <x:row r="107">
      <x:c r="A107" s="12" t="str">
        <x:v>DG-RB-005</x:v>
      </x:c>
      <x:c r="B107" s="12" t="str"/>
      <x:c r="C107" s="12" t="str">
        <x:v>Ruby/Corundum Collection</x:v>
      </x:c>
      <x:c r="D107" s="12" t="str">
        <x:v>Coríndons</x:v>
      </x:c>
      <x:c r="E107" s="12" t="str">
        <x:v>Coríndon</x:v>
      </x:c>
      <x:c r="F107" s="12" t="str">
        <x:v>Rubi brasileiro provisório</x:v>
      </x:c>
      <x:c r="G107" s="12" t="str">
        <x:v>Gema individual</x:v>
      </x:c>
      <x:c r="H107" s="18" t="n">
        <x:v>1</x:v>
      </x:c>
      <x:c r="I107" s="12" t="str">
        <x:v>Cushion</x:v>
      </x:c>
      <x:c r="J107" s="12" t="str">
        <x:v>10 x 10 x 4</x:v>
      </x:c>
      <x:c r="K107" s="14" t="n">
        <x:v>5.245</x:v>
      </x:c>
      <x:c r="L107" s="12" t="str">
        <x:v>Sim</x:v>
      </x:c>
      <x:c r="M107" s="12" t="str">
        <x:v>Balança / informado</x:v>
      </x:c>
      <x:c r="N107" s="12" t="str">
        <x:v>Rosa avermelhado</x:v>
      </x:c>
      <x:c r="O107" s="12" t="str">
        <x:v>Translúcida</x:v>
      </x:c>
      <x:c r="P107" s="12" t="str">
        <x:v>Bahia</x:v>
      </x:c>
      <x:c r="Q107" s="12" t="str">
        <x:v>Não avaliado / não informado</x:v>
      </x:c>
      <x:c r="R107" s="12" t="str">
        <x:v>Não</x:v>
      </x:c>
      <x:c r="S107" s="12" t="str"/>
      <x:c r="T107" s="12" t="str"/>
      <x:c r="U107" s="20"/>
      <x:c r="V107" s="20"/>
      <x:c r="W107" s="20"/>
      <x:c r="X107" s="20"/>
      <x:c r="Y107" s="20"/>
      <x:c r="Z107" s="20"/>
      <x:c r="AA107" s="20"/>
      <x:c r="AB107" s="12" t="str">
        <x:v>Pendente de precificação individual</x:v>
      </x:c>
      <x:c r="AC107" s="16" t="n">
        <x:v>6.8</x:v>
      </x:c>
      <x:c r="AD107" s="12" t="str">
        <x:v>B+</x:v>
      </x:c>
      <x:c r="AE107" s="12" t="str">
        <x:v>Média</x:v>
      </x:c>
      <x:c r="AF107" s="12" t="str">
        <x:v>Anel, pingente ou joia comercial</x:v>
      </x:c>
      <x:c r="AG107" s="12" t="str">
        <x:v>Anel, pingente ou joia comercial</x:v>
      </x:c>
      <x:c r="AH107" s="12" t="str">
        <x:v>Coleção</x:v>
      </x:c>
      <x:c r="AI107" s="12" t="str"/>
      <x:c r="AJ107" s="12" t="str"/>
      <x:c r="AK107" s="12" t="str"/>
      <x:c r="AL107" s="12" t="str"/>
      <x:c r="AM107" s="12" t="str">
        <x:v>Não informado</x:v>
      </x:c>
      <x:c r="AN107" s="12" t="str"/>
      <x:c r="AO107" s="12" t="str">
        <x:v>2026-07-01</x:v>
      </x:c>
      <x:c r="AP107" s="12" t="str">
        <x:v>2026-07-19</x:v>
      </x:c>
      <x:c r="AQ107" s="12" t="str">
        <x:v>Alta</x:v>
      </x:c>
      <x:c r="AR107" s="12" t="str">
        <x:v>Inventário mestre completo atualizado em 2026-07-01</x:v>
      </x:c>
      <x:c r="AS107" s="12" t="str">
        <x:v>Confirmar identificação em laboratório; Avaliar certificação; Precificação individual pendente</x:v>
      </x:c>
      <x:c r="AT107" s="12" t="str">
        <x:v>Identificação visual; lote total comprado por R$1.100; confirmar em laboratório. Peso oficial atualizado: 5.245 ct.</x:v>
      </x:c>
    </x:row>
    <x:row r="108">
      <x:c r="A108" s="12" t="str">
        <x:v>DG-RB-006</x:v>
      </x:c>
      <x:c r="B108" s="12" t="str"/>
      <x:c r="C108" s="12" t="str">
        <x:v>Ruby/Corundum Collection</x:v>
      </x:c>
      <x:c r="D108" s="12" t="str">
        <x:v>Coríndons</x:v>
      </x:c>
      <x:c r="E108" s="12" t="str">
        <x:v>Coríndon</x:v>
      </x:c>
      <x:c r="F108" s="12" t="str">
        <x:v>Rubi brasileiro provisório</x:v>
      </x:c>
      <x:c r="G108" s="12" t="str">
        <x:v>Gema individual</x:v>
      </x:c>
      <x:c r="H108" s="18" t="n">
        <x:v>1</x:v>
      </x:c>
      <x:c r="I108" s="12" t="str">
        <x:v>Octogonal/Retangular</x:v>
      </x:c>
      <x:c r="J108" s="12" t="str">
        <x:v>12 x 10 x 5</x:v>
      </x:c>
      <x:c r="K108" s="14" t="n">
        <x:v>7.21</x:v>
      </x:c>
      <x:c r="L108" s="12" t="str">
        <x:v>Sim</x:v>
      </x:c>
      <x:c r="M108" s="12" t="str">
        <x:v>Balança / informado</x:v>
      </x:c>
      <x:c r="N108" s="12" t="str">
        <x:v>Rosa avermelhado</x:v>
      </x:c>
      <x:c r="O108" s="12" t="str">
        <x:v>Translúcida</x:v>
      </x:c>
      <x:c r="P108" s="12" t="str">
        <x:v>Bahia</x:v>
      </x:c>
      <x:c r="Q108" s="12" t="str">
        <x:v>Não avaliado / não informado</x:v>
      </x:c>
      <x:c r="R108" s="12" t="str">
        <x:v>Não</x:v>
      </x:c>
      <x:c r="S108" s="12" t="str"/>
      <x:c r="T108" s="12" t="str"/>
      <x:c r="U108" s="20"/>
      <x:c r="V108" s="20"/>
      <x:c r="W108" s="20"/>
      <x:c r="X108" s="20"/>
      <x:c r="Y108" s="20"/>
      <x:c r="Z108" s="20"/>
      <x:c r="AA108" s="20"/>
      <x:c r="AB108" s="12" t="str">
        <x:v>Pendente de precificação individual</x:v>
      </x:c>
      <x:c r="AC108" s="16" t="n">
        <x:v>7</x:v>
      </x:c>
      <x:c r="AD108" s="12" t="str">
        <x:v>B+</x:v>
      </x:c>
      <x:c r="AE108" s="12" t="str">
        <x:v>Média</x:v>
      </x:c>
      <x:c r="AF108" s="12" t="str">
        <x:v>Anel, pingente ou joia comercial</x:v>
      </x:c>
      <x:c r="AG108" s="12" t="str">
        <x:v>Anel, pingente ou joia comercial</x:v>
      </x:c>
      <x:c r="AH108" s="12" t="str">
        <x:v>Coleção</x:v>
      </x:c>
      <x:c r="AI108" s="12" t="str"/>
      <x:c r="AJ108" s="12" t="str"/>
      <x:c r="AK108" s="12" t="str"/>
      <x:c r="AL108" s="12" t="str"/>
      <x:c r="AM108" s="12" t="str">
        <x:v>Não informado</x:v>
      </x:c>
      <x:c r="AN108" s="12" t="str"/>
      <x:c r="AO108" s="12" t="str">
        <x:v>2026-07-01</x:v>
      </x:c>
      <x:c r="AP108" s="12" t="str">
        <x:v>2026-07-19</x:v>
      </x:c>
      <x:c r="AQ108" s="12" t="str">
        <x:v>Alta</x:v>
      </x:c>
      <x:c r="AR108" s="12" t="str">
        <x:v>Inventário mestre completo atualizado em 2026-07-01</x:v>
      </x:c>
      <x:c r="AS108" s="12" t="str">
        <x:v>Confirmar identificação em laboratório; Avaliar certificação; Precificação individual pendente</x:v>
      </x:c>
      <x:c r="AT108" s="12" t="str">
        <x:v>Identificação visual; lote total comprado por R$1.100; confirmar em laboratório. Peso oficial atualizado: 7.210 ct.</x:v>
      </x:c>
    </x:row>
    <x:row r="109">
      <x:c r="A109" s="12" t="str">
        <x:v>DG-RB-007</x:v>
      </x:c>
      <x:c r="B109" s="12" t="str"/>
      <x:c r="C109" s="12" t="str">
        <x:v>Ruby/Corundum Collection</x:v>
      </x:c>
      <x:c r="D109" s="12" t="str">
        <x:v>Coríndons</x:v>
      </x:c>
      <x:c r="E109" s="12" t="str">
        <x:v>Coríndon</x:v>
      </x:c>
      <x:c r="F109" s="12" t="str">
        <x:v>Rubi brasileiro provisório</x:v>
      </x:c>
      <x:c r="G109" s="12" t="str">
        <x:v>Gema individual</x:v>
      </x:c>
      <x:c r="H109" s="18" t="n">
        <x:v>1</x:v>
      </x:c>
      <x:c r="I109" s="12" t="str">
        <x:v>Escudo irregular</x:v>
      </x:c>
      <x:c r="J109" s="12" t="str">
        <x:v>9 x 10 x 4</x:v>
      </x:c>
      <x:c r="K109" s="14" t="n">
        <x:v>3.53</x:v>
      </x:c>
      <x:c r="L109" s="12" t="str">
        <x:v>Sim</x:v>
      </x:c>
      <x:c r="M109" s="12" t="str">
        <x:v>Balança / informado</x:v>
      </x:c>
      <x:c r="N109" s="12" t="str">
        <x:v>Rosa avermelhado</x:v>
      </x:c>
      <x:c r="O109" s="12" t="str">
        <x:v>Translúcida</x:v>
      </x:c>
      <x:c r="P109" s="12" t="str">
        <x:v>Bahia</x:v>
      </x:c>
      <x:c r="Q109" s="12" t="str">
        <x:v>Não avaliado / não informado</x:v>
      </x:c>
      <x:c r="R109" s="12" t="str">
        <x:v>Não</x:v>
      </x:c>
      <x:c r="S109" s="12" t="str"/>
      <x:c r="T109" s="12" t="str"/>
      <x:c r="U109" s="20"/>
      <x:c r="V109" s="20"/>
      <x:c r="W109" s="20"/>
      <x:c r="X109" s="20"/>
      <x:c r="Y109" s="20"/>
      <x:c r="Z109" s="20"/>
      <x:c r="AA109" s="20"/>
      <x:c r="AB109" s="12" t="str">
        <x:v>Pendente de precificação individual</x:v>
      </x:c>
      <x:c r="AC109" s="16" t="n">
        <x:v>6.9</x:v>
      </x:c>
      <x:c r="AD109" s="12" t="str">
        <x:v>B+</x:v>
      </x:c>
      <x:c r="AE109" s="12" t="str">
        <x:v>Média</x:v>
      </x:c>
      <x:c r="AF109" s="12" t="str">
        <x:v>Anel, pingente ou joia comercial</x:v>
      </x:c>
      <x:c r="AG109" s="12" t="str">
        <x:v>Anel, pingente ou joia comercial</x:v>
      </x:c>
      <x:c r="AH109" s="12" t="str">
        <x:v>Coleção</x:v>
      </x:c>
      <x:c r="AI109" s="12" t="str"/>
      <x:c r="AJ109" s="12" t="str"/>
      <x:c r="AK109" s="12" t="str"/>
      <x:c r="AL109" s="12" t="str"/>
      <x:c r="AM109" s="12" t="str">
        <x:v>Não informado</x:v>
      </x:c>
      <x:c r="AN109" s="12" t="str"/>
      <x:c r="AO109" s="12" t="str">
        <x:v>2026-07-01</x:v>
      </x:c>
      <x:c r="AP109" s="12" t="str">
        <x:v>2026-07-19</x:v>
      </x:c>
      <x:c r="AQ109" s="12" t="str">
        <x:v>Alta</x:v>
      </x:c>
      <x:c r="AR109" s="12" t="str">
        <x:v>Inventário mestre completo atualizado em 2026-07-01</x:v>
      </x:c>
      <x:c r="AS109" s="12" t="str">
        <x:v>Confirmar identificação em laboratório; Avaliar certificação; Precificação individual pendente</x:v>
      </x:c>
      <x:c r="AT109" s="12" t="str">
        <x:v>Identificação visual; lote total comprado por R$1.100; confirmar em laboratório. Peso oficial atualizado: 3.530 ct.</x:v>
      </x:c>
    </x:row>
    <x:row r="110">
      <x:c r="A110" s="12" t="str">
        <x:v>DG-RB-008</x:v>
      </x:c>
      <x:c r="B110" s="12" t="str"/>
      <x:c r="C110" s="12" t="str">
        <x:v>Ruby/Corundum Collection</x:v>
      </x:c>
      <x:c r="D110" s="12" t="str">
        <x:v>Coríndons</x:v>
      </x:c>
      <x:c r="E110" s="12" t="str">
        <x:v>Coríndon</x:v>
      </x:c>
      <x:c r="F110" s="12" t="str">
        <x:v>Rubi brasileiro provisório</x:v>
      </x:c>
      <x:c r="G110" s="12" t="str">
        <x:v>Gema individual</x:v>
      </x:c>
      <x:c r="H110" s="18" t="n">
        <x:v>1</x:v>
      </x:c>
      <x:c r="I110" s="12" t="str">
        <x:v>Navete/Marquise</x:v>
      </x:c>
      <x:c r="J110" s="12" t="str">
        <x:v>15 x 9 x 3</x:v>
      </x:c>
      <x:c r="K110" s="14" t="n">
        <x:v>3.95</x:v>
      </x:c>
      <x:c r="L110" s="12" t="str">
        <x:v>Sim</x:v>
      </x:c>
      <x:c r="M110" s="12" t="str">
        <x:v>Balança / informado</x:v>
      </x:c>
      <x:c r="N110" s="12" t="str">
        <x:v>Rosa avermelhado</x:v>
      </x:c>
      <x:c r="O110" s="12" t="str">
        <x:v>Translúcida</x:v>
      </x:c>
      <x:c r="P110" s="12" t="str">
        <x:v>Bahia</x:v>
      </x:c>
      <x:c r="Q110" s="12" t="str">
        <x:v>Não avaliado / não informado</x:v>
      </x:c>
      <x:c r="R110" s="12" t="str">
        <x:v>Não</x:v>
      </x:c>
      <x:c r="S110" s="12" t="str"/>
      <x:c r="T110" s="12" t="str"/>
      <x:c r="U110" s="20"/>
      <x:c r="V110" s="20"/>
      <x:c r="W110" s="20"/>
      <x:c r="X110" s="20"/>
      <x:c r="Y110" s="20"/>
      <x:c r="Z110" s="20"/>
      <x:c r="AA110" s="20"/>
      <x:c r="AB110" s="12" t="str">
        <x:v>Pendente de precificação individual</x:v>
      </x:c>
      <x:c r="AC110" s="16" t="n">
        <x:v>6.9</x:v>
      </x:c>
      <x:c r="AD110" s="12" t="str">
        <x:v>B</x:v>
      </x:c>
      <x:c r="AE110" s="12" t="str">
        <x:v>Média</x:v>
      </x:c>
      <x:c r="AF110" s="12" t="str">
        <x:v>Anel, pingente ou joia comercial</x:v>
      </x:c>
      <x:c r="AG110" s="12" t="str">
        <x:v>Anel, pingente ou joia comercial</x:v>
      </x:c>
      <x:c r="AH110" s="12" t="str">
        <x:v>Coleção</x:v>
      </x:c>
      <x:c r="AI110" s="12" t="str"/>
      <x:c r="AJ110" s="12" t="str"/>
      <x:c r="AK110" s="12" t="str"/>
      <x:c r="AL110" s="12" t="str"/>
      <x:c r="AM110" s="12" t="str">
        <x:v>Não informado</x:v>
      </x:c>
      <x:c r="AN110" s="12" t="str"/>
      <x:c r="AO110" s="12" t="str">
        <x:v>2026-07-01</x:v>
      </x:c>
      <x:c r="AP110" s="12" t="str">
        <x:v>2026-07-19</x:v>
      </x:c>
      <x:c r="AQ110" s="12" t="str">
        <x:v>Alta</x:v>
      </x:c>
      <x:c r="AR110" s="12" t="str">
        <x:v>Inventário mestre completo atualizado em 2026-07-01</x:v>
      </x:c>
      <x:c r="AS110" s="12" t="str">
        <x:v>Confirmar identificação em laboratório; Avaliar certificação; Precificação individual pendente</x:v>
      </x:c>
      <x:c r="AT110" s="12" t="str">
        <x:v>Identificação visual; lote total comprado por R$1.100; confirmar em laboratório. Peso oficial atualizado: 3.950 ct.</x:v>
      </x:c>
    </x:row>
    <x:row r="111">
      <x:c r="A111" s="12" t="str">
        <x:v>DG-RB-009</x:v>
      </x:c>
      <x:c r="B111" s="12" t="str"/>
      <x:c r="C111" s="12" t="str">
        <x:v>Ruby/Corundum Collection</x:v>
      </x:c>
      <x:c r="D111" s="12" t="str">
        <x:v>Coríndons</x:v>
      </x:c>
      <x:c r="E111" s="12" t="str">
        <x:v>Coríndon</x:v>
      </x:c>
      <x:c r="F111" s="12" t="str">
        <x:v>Rubi brasileiro provisório</x:v>
      </x:c>
      <x:c r="G111" s="12" t="str">
        <x:v>Lote</x:v>
      </x:c>
      <x:c r="H111" s="18" t="n">
        <x:v>10</x:v>
      </x:c>
      <x:c r="I111" s="12" t="str">
        <x:v>Gotas/Navetes</x:v>
      </x:c>
      <x:c r="J111" s="12" t="str">
        <x:v>6 maiores 10–12x4–5x2–3; 4 menores 7–8x3–4x2–3</x:v>
      </x:c>
      <x:c r="K111" s="14" t="n">
        <x:v>25.84</x:v>
      </x:c>
      <x:c r="L111" s="12" t="str">
        <x:v>Sim</x:v>
      </x:c>
      <x:c r="M111" s="12" t="str">
        <x:v>Balança / informado</x:v>
      </x:c>
      <x:c r="N111" s="12" t="str">
        <x:v>Rosa avermelhado uniforme</x:v>
      </x:c>
      <x:c r="O111" s="12" t="str">
        <x:v>Translúcida</x:v>
      </x:c>
      <x:c r="P111" s="12" t="str">
        <x:v>Bahia</x:v>
      </x:c>
      <x:c r="Q111" s="12" t="str">
        <x:v>Não avaliado / não informado</x:v>
      </x:c>
      <x:c r="R111" s="12" t="str">
        <x:v>Não</x:v>
      </x:c>
      <x:c r="S111" s="12" t="str"/>
      <x:c r="T111" s="12" t="str"/>
      <x:c r="U111" s="20"/>
      <x:c r="V111" s="20" t="n">
        <x:v>1500</x:v>
      </x:c>
      <x:c r="W111" s="20" t="n">
        <x:v>2800</x:v>
      </x:c>
      <x:c r="X111" s="20" t="n">
        <x:v>3000</x:v>
      </x:c>
      <x:c r="Y111" s="20" t="n">
        <x:v>5500</x:v>
      </x:c>
      <x:c r="Z111" s="20" t="n">
        <x:v>8000</x:v>
      </x:c>
      <x:c r="AA111" s="20" t="n">
        <x:v>18000</x:v>
      </x:c>
      <x:c r="AB111" s="12" t="str">
        <x:v>Registrado no histórico</x:v>
      </x:c>
      <x:c r="AC111" s="16" t="n">
        <x:v>7.4</x:v>
      </x:c>
      <x:c r="AD111" s="12" t="str">
        <x:v>B</x:v>
      </x:c>
      <x:c r="AE111" s="12" t="str">
        <x:v>Média</x:v>
      </x:c>
      <x:c r="AF111" s="12" t="str">
        <x:v>Brincos, pingentes, riviera, colares</x:v>
      </x:c>
      <x:c r="AG111" s="12" t="str">
        <x:v>Brincos, pingentes, riviera, colares</x:v>
      </x:c>
      <x:c r="AH111" s="12" t="str">
        <x:v>Coleção</x:v>
      </x:c>
      <x:c r="AI111" s="12" t="str"/>
      <x:c r="AJ111" s="12" t="str"/>
      <x:c r="AK111" s="12" t="str"/>
      <x:c r="AL111" s="12" t="str"/>
      <x:c r="AM111" s="12" t="str">
        <x:v>Não informado</x:v>
      </x:c>
      <x:c r="AN111" s="12" t="str"/>
      <x:c r="AO111" s="12" t="str">
        <x:v>2026-07-01</x:v>
      </x:c>
      <x:c r="AP111" s="12" t="str">
        <x:v>2026-07-19</x:v>
      </x:c>
      <x:c r="AQ111" s="12" t="str">
        <x:v>Alta</x:v>
      </x:c>
      <x:c r="AR111" s="12" t="str">
        <x:v>Inventário mestre completo atualizado em 2026-07-01</x:v>
      </x:c>
      <x:c r="AS111" s="12" t="str">
        <x:v>Confirmar identificação em laboratório; Avaliar certificação</x:v>
      </x:c>
      <x:c r="AT111" s="12" t="str">
        <x:v>Lote calibrado; parte do lote de R$1.100. Peso oficial atualizado: 25,840 ct total do lote com 10 pedras.</x:v>
      </x:c>
    </x:row>
    <x:row r="112">
      <x:c r="A112" s="12" t="str">
        <x:v>DG-RB-010</x:v>
      </x:c>
      <x:c r="B112" s="12" t="str"/>
      <x:c r="C112" s="12" t="str">
        <x:v>Ruby/Corundum Collection</x:v>
      </x:c>
      <x:c r="D112" s="12" t="str">
        <x:v>Coríndons</x:v>
      </x:c>
      <x:c r="E112" s="12" t="str">
        <x:v>Coríndon</x:v>
      </x:c>
      <x:c r="F112" s="12" t="str">
        <x:v>Rubi brasileiro provisório</x:v>
      </x:c>
      <x:c r="G112" s="12" t="str">
        <x:v>Lote</x:v>
      </x:c>
      <x:c r="H112" s="18" t="n">
        <x:v>7</x:v>
      </x:c>
      <x:c r="I112" s="12" t="str">
        <x:v>Quadrados, gotas e oval</x:v>
      </x:c>
      <x:c r="J112" s="12" t="str">
        <x:v>Maior 10x10x4; menores 5x5x3; inferiores 7–12x4–5x3–4</x:v>
      </x:c>
      <x:c r="K112" s="14" t="n">
        <x:v>19</x:v>
      </x:c>
      <x:c r="L112" s="12" t="str">
        <x:v>Sim</x:v>
      </x:c>
      <x:c r="M112" s="12" t="str">
        <x:v>Balança / informado</x:v>
      </x:c>
      <x:c r="N112" s="12" t="str">
        <x:v>Rosa médio / avermelhado</x:v>
      </x:c>
      <x:c r="O112" s="12" t="str">
        <x:v>Translúcida</x:v>
      </x:c>
      <x:c r="P112" s="12" t="str">
        <x:v>Bahia</x:v>
      </x:c>
      <x:c r="Q112" s="12" t="str">
        <x:v>Não avaliado / não informado</x:v>
      </x:c>
      <x:c r="R112" s="12" t="str">
        <x:v>Não</x:v>
      </x:c>
      <x:c r="S112" s="12" t="str"/>
      <x:c r="T112" s="12" t="str"/>
      <x:c r="U112" s="20"/>
      <x:c r="V112" s="20" t="n">
        <x:v>2000</x:v>
      </x:c>
      <x:c r="W112" s="20" t="n">
        <x:v>3800</x:v>
      </x:c>
      <x:c r="X112" s="20" t="n">
        <x:v>4000</x:v>
      </x:c>
      <x:c r="Y112" s="20" t="n">
        <x:v>7000</x:v>
      </x:c>
      <x:c r="Z112" s="20" t="n">
        <x:v>10000</x:v>
      </x:c>
      <x:c r="AA112" s="20" t="n">
        <x:v>22000</x:v>
      </x:c>
      <x:c r="AB112" s="12" t="str">
        <x:v>Registrado no histórico</x:v>
      </x:c>
      <x:c r="AC112" s="16" t="n">
        <x:v>7.8</x:v>
      </x:c>
      <x:c r="AD112" s="12" t="str">
        <x:v>B+</x:v>
      </x:c>
      <x:c r="AE112" s="12" t="str">
        <x:v>Média</x:v>
      </x:c>
      <x:c r="AF112" s="12" t="str">
        <x:v>Anel com quadrada maior, brincos com gotas</x:v>
      </x:c>
      <x:c r="AG112" s="12" t="str">
        <x:v>Anel com quadrada maior, brincos com gotas</x:v>
      </x:c>
      <x:c r="AH112" s="12" t="str">
        <x:v>Coleção</x:v>
      </x:c>
      <x:c r="AI112" s="12" t="str"/>
      <x:c r="AJ112" s="12" t="str"/>
      <x:c r="AK112" s="12" t="str"/>
      <x:c r="AL112" s="12" t="str"/>
      <x:c r="AM112" s="12" t="str">
        <x:v>Não informado</x:v>
      </x:c>
      <x:c r="AN112" s="12" t="str"/>
      <x:c r="AO112" s="12" t="str">
        <x:v>2026-07-01</x:v>
      </x:c>
      <x:c r="AP112" s="12" t="str">
        <x:v>2026-07-19</x:v>
      </x:c>
      <x:c r="AQ112" s="12" t="str">
        <x:v>Alta</x:v>
      </x:c>
      <x:c r="AR112" s="12" t="str">
        <x:v>Inventário mestre completo atualizado em 2026-07-01</x:v>
      </x:c>
      <x:c r="AS112" s="12" t="str">
        <x:v>Confirmar identificação em laboratório; Avaliar certificação</x:v>
      </x:c>
      <x:c r="AT112" s="12" t="str">
        <x:v>Lote diverso; parte do lote de R$1.100. Peso oficial atualizado: 19,000 ct total do lote com 7 pedras.</x:v>
      </x:c>
    </x:row>
    <x:row r="113">
      <x:c r="A113" s="12" t="str">
        <x:v>DG-RB-011</x:v>
      </x:c>
      <x:c r="B113" s="12" t="str"/>
      <x:c r="C113" s="12" t="str">
        <x:v>Ruby/Corundum Collection</x:v>
      </x:c>
      <x:c r="D113" s="12" t="str">
        <x:v>Coríndons</x:v>
      </x:c>
      <x:c r="E113" s="12" t="str">
        <x:v>Coríndon</x:v>
      </x:c>
      <x:c r="F113" s="12" t="str">
        <x:v>Rubi brasileiro provisório</x:v>
      </x:c>
      <x:c r="G113" s="12" t="str">
        <x:v>Lote</x:v>
      </x:c>
      <x:c r="H113" s="18" t="n">
        <x:v>3</x:v>
      </x:c>
      <x:c r="I113" s="12" t="str">
        <x:v>Navete/Marquise</x:v>
      </x:c>
      <x:c r="J113" s="12" t="str">
        <x:v>13–15 x 4 x 2–3</x:v>
      </x:c>
      <x:c r="K113" s="14" t="n">
        <x:v>6.945</x:v>
      </x:c>
      <x:c r="L113" s="12" t="str">
        <x:v>Sim</x:v>
      </x:c>
      <x:c r="M113" s="12" t="str">
        <x:v>Balança / informado</x:v>
      </x:c>
      <x:c r="N113" s="12" t="str">
        <x:v>Rosa avermelhado médio</x:v>
      </x:c>
      <x:c r="O113" s="12" t="str">
        <x:v>Translúcida</x:v>
      </x:c>
      <x:c r="P113" s="12" t="str">
        <x:v>Bahia</x:v>
      </x:c>
      <x:c r="Q113" s="12" t="str">
        <x:v>Não avaliado / não informado</x:v>
      </x:c>
      <x:c r="R113" s="12" t="str">
        <x:v>Não</x:v>
      </x:c>
      <x:c r="S113" s="12" t="str"/>
      <x:c r="T113" s="12" t="str"/>
      <x:c r="U113" s="20"/>
      <x:c r="V113" s="20" t="n">
        <x:v>500</x:v>
      </x:c>
      <x:c r="W113" s="20" t="n">
        <x:v>900</x:v>
      </x:c>
      <x:c r="X113" s="20" t="n">
        <x:v>1000</x:v>
      </x:c>
      <x:c r="Y113" s="20" t="n">
        <x:v>1800</x:v>
      </x:c>
      <x:c r="Z113" s="20" t="n">
        <x:v>3000</x:v>
      </x:c>
      <x:c r="AA113" s="20" t="n">
        <x:v>7000</x:v>
      </x:c>
      <x:c r="AB113" s="12" t="str">
        <x:v>Registrado no histórico</x:v>
      </x:c>
      <x:c r="AC113" s="16" t="n">
        <x:v>7</x:v>
      </x:c>
      <x:c r="AD113" s="12" t="str">
        <x:v>B</x:v>
      </x:c>
      <x:c r="AE113" s="12" t="str">
        <x:v>Baixa/Média</x:v>
      </x:c>
      <x:c r="AF113" s="12" t="str">
        <x:v>Brincos longos, pingentes lineares</x:v>
      </x:c>
      <x:c r="AG113" s="12" t="str">
        <x:v>Brincos longos, pingentes lineares</x:v>
      </x:c>
      <x:c r="AH113" s="12" t="str">
        <x:v>Coleção</x:v>
      </x:c>
      <x:c r="AI113" s="12" t="str"/>
      <x:c r="AJ113" s="12" t="str"/>
      <x:c r="AK113" s="12" t="str"/>
      <x:c r="AL113" s="12" t="str"/>
      <x:c r="AM113" s="12" t="str">
        <x:v>Não informado</x:v>
      </x:c>
      <x:c r="AN113" s="12" t="str"/>
      <x:c r="AO113" s="12" t="str">
        <x:v>2026-07-01</x:v>
      </x:c>
      <x:c r="AP113" s="12" t="str">
        <x:v>2026-07-19</x:v>
      </x:c>
      <x:c r="AQ113" s="12" t="str">
        <x:v>Alta</x:v>
      </x:c>
      <x:c r="AR113" s="12" t="str">
        <x:v>Inventário mestre completo atualizado em 2026-07-01</x:v>
      </x:c>
      <x:c r="AS113" s="12" t="str">
        <x:v>Confirmar identificação em laboratório</x:v>
      </x:c>
      <x:c r="AT113" s="12" t="str">
        <x:v>Formato navete confirmado; parte do lote de R$1.100. Peso oficial atualizado: 6,945 ct total do lote com 3 pedras.</x:v>
      </x:c>
    </x:row>
    <x:row r="114">
      <x:c r="A114" s="12" t="str">
        <x:v>DG-RB-012</x:v>
      </x:c>
      <x:c r="B114" s="12" t="str"/>
      <x:c r="C114" s="12" t="str">
        <x:v>Ruby/Corundum Collection</x:v>
      </x:c>
      <x:c r="D114" s="12" t="str">
        <x:v>Coríndons</x:v>
      </x:c>
      <x:c r="E114" s="12" t="str">
        <x:v>Coríndon</x:v>
      </x:c>
      <x:c r="F114" s="12" t="str">
        <x:v>Rubi brasileiro provisório</x:v>
      </x:c>
      <x:c r="G114" s="12" t="str">
        <x:v>Gema individual</x:v>
      </x:c>
      <x:c r="H114" s="18" t="n">
        <x:v>1</x:v>
      </x:c>
      <x:c r="I114" s="12" t="str">
        <x:v>Gota</x:v>
      </x:c>
      <x:c r="J114" s="12" t="str">
        <x:v>8 x 5 x 2</x:v>
      </x:c>
      <x:c r="K114" s="14" t="n">
        <x:v>1.59</x:v>
      </x:c>
      <x:c r="L114" s="12" t="str">
        <x:v>Sim</x:v>
      </x:c>
      <x:c r="M114" s="12" t="str">
        <x:v>Balança / informado</x:v>
      </x:c>
      <x:c r="N114" s="12" t="str">
        <x:v>Rosa avermelhado</x:v>
      </x:c>
      <x:c r="O114" s="12" t="str">
        <x:v>Translúcida</x:v>
      </x:c>
      <x:c r="P114" s="12" t="str">
        <x:v>Bahia</x:v>
      </x:c>
      <x:c r="Q114" s="12" t="str">
        <x:v>Não avaliado / não informado</x:v>
      </x:c>
      <x:c r="R114" s="12" t="str">
        <x:v>Não</x:v>
      </x:c>
      <x:c r="S114" s="12" t="str"/>
      <x:c r="T114" s="12" t="str"/>
      <x:c r="U114" s="20"/>
      <x:c r="V114" s="20"/>
      <x:c r="W114" s="20"/>
      <x:c r="X114" s="20"/>
      <x:c r="Y114" s="20"/>
      <x:c r="Z114" s="20"/>
      <x:c r="AA114" s="20"/>
      <x:c r="AB114" s="12" t="str">
        <x:v>Pendente de precificação individual</x:v>
      </x:c>
      <x:c r="AC114" s="16" t="n">
        <x:v>7.9</x:v>
      </x:c>
      <x:c r="AD114" s="12" t="str">
        <x:v>B+</x:v>
      </x:c>
      <x:c r="AE114" s="12" t="str">
        <x:v>Média</x:v>
      </x:c>
      <x:c r="AF114" s="12" t="str">
        <x:v>Anel, pingente ou joia comercial</x:v>
      </x:c>
      <x:c r="AG114" s="12" t="str">
        <x:v>Anel, pingente ou joia comercial</x:v>
      </x:c>
      <x:c r="AH114" s="12" t="str">
        <x:v>Coleção</x:v>
      </x:c>
      <x:c r="AI114" s="12" t="str"/>
      <x:c r="AJ114" s="12" t="str"/>
      <x:c r="AK114" s="12" t="str"/>
      <x:c r="AL114" s="12" t="str"/>
      <x:c r="AM114" s="12" t="str">
        <x:v>Não informado</x:v>
      </x:c>
      <x:c r="AN114" s="12" t="str"/>
      <x:c r="AO114" s="12" t="str">
        <x:v>2026-07-01</x:v>
      </x:c>
      <x:c r="AP114" s="12" t="str">
        <x:v>2026-07-19</x:v>
      </x:c>
      <x:c r="AQ114" s="12" t="str">
        <x:v>Alta</x:v>
      </x:c>
      <x:c r="AR114" s="12" t="str">
        <x:v>Inventário mestre completo atualizado em 2026-07-01</x:v>
      </x:c>
      <x:c r="AS114" s="12" t="str">
        <x:v>Confirmar identificação em laboratório; Avaliar certificação; Precificação individual pendente</x:v>
      </x:c>
      <x:c r="AT114" s="12" t="str">
        <x:v>Identificação visual; lote total comprado por R$1.100; confirmar em laboratório. Peso oficial atualizado: 1.590 ct.</x:v>
      </x:c>
    </x:row>
    <x:row r="115">
      <x:c r="A115" s="12" t="str">
        <x:v>DG-RD-001</x:v>
      </x:c>
      <x:c r="B115" s="12" t="str"/>
      <x:c r="C115" s="12" t="str">
        <x:v>Royal Collection</x:v>
      </x:c>
      <x:c r="D115" s="12" t="str">
        <x:v>Rodolitas</x:v>
      </x:c>
      <x:c r="E115" s="12" t="str">
        <x:v>Granada</x:v>
      </x:c>
      <x:c r="F115" s="12" t="str">
        <x:v>Rodolita provisória</x:v>
      </x:c>
      <x:c r="G115" s="12" t="str">
        <x:v>Gema individual</x:v>
      </x:c>
      <x:c r="H115" s="18" t="n">
        <x:v>1</x:v>
      </x:c>
      <x:c r="I115" s="12" t="str">
        <x:v>Gota</x:v>
      </x:c>
      <x:c r="J115" s="12" t="str">
        <x:v>10 x 5</x:v>
      </x:c>
      <x:c r="K115" s="14" t="n">
        <x:v>2.1</x:v>
      </x:c>
      <x:c r="L115" s="12" t="str">
        <x:v>Não</x:v>
      </x:c>
      <x:c r="M115" s="12" t="str">
        <x:v>Estimativa por medidas</x:v>
      </x:c>
      <x:c r="N115" s="12" t="str">
        <x:v>Vinho / framboesa / magenta</x:v>
      </x:c>
      <x:c r="O115" s="12" t="str">
        <x:v>Transparente a translúcida</x:v>
      </x:c>
      <x:c r="P115" s="12" t="str">
        <x:v>Bahia</x:v>
      </x:c>
      <x:c r="Q115" s="12" t="str">
        <x:v>Não avaliado / não informado</x:v>
      </x:c>
      <x:c r="R115" s="12" t="str">
        <x:v>Não</x:v>
      </x:c>
      <x:c r="S115" s="12" t="str"/>
      <x:c r="T115" s="12" t="str"/>
      <x:c r="U115" s="20"/>
      <x:c r="V115" s="20" t="n">
        <x:v>357</x:v>
      </x:c>
      <x:c r="W115" s="20" t="n">
        <x:v>650</x:v>
      </x:c>
      <x:c r="X115" s="20" t="n">
        <x:v>650</x:v>
      </x:c>
      <x:c r="Y115" s="20" t="n">
        <x:v>650</x:v>
      </x:c>
      <x:c r="Z115" s="20" t="n">
        <x:v>1950</x:v>
      </x:c>
      <x:c r="AA115" s="20" t="n">
        <x:v>3900</x:v>
      </x:c>
      <x:c r="AB115" s="12" t="str">
        <x:v>Registrado no histórico</x:v>
      </x:c>
      <x:c r="AC115" s="16" t="n">
        <x:v>7.5</x:v>
      </x:c>
      <x:c r="AD115" s="12" t="str">
        <x:v>AA+</x:v>
      </x:c>
      <x:c r="AE115" s="12" t="str">
        <x:v>Baixa</x:v>
      </x:c>
      <x:c r="AF115" s="12" t="str">
        <x:v>Joias femininas, pingentes, brincos</x:v>
      </x:c>
      <x:c r="AG115" s="12" t="str">
        <x:v>Joias femininas, pingentes, brincos</x:v>
      </x:c>
      <x:c r="AH115" s="12" t="str">
        <x:v>Coleção</x:v>
      </x:c>
      <x:c r="AI115" s="12" t="str"/>
      <x:c r="AJ115" s="12" t="str"/>
      <x:c r="AK115" s="12" t="str"/>
      <x:c r="AL115" s="12" t="str"/>
      <x:c r="AM115" s="12" t="str">
        <x:v>Não informado</x:v>
      </x:c>
      <x:c r="AN115" s="12" t="str"/>
      <x:c r="AO115" s="12" t="str">
        <x:v>2026-07-01</x:v>
      </x:c>
      <x:c r="AP115" s="12" t="str">
        <x:v>2026-07-19</x:v>
      </x:c>
      <x:c r="AQ115" s="12" t="str">
        <x:v>Média</x:v>
      </x:c>
      <x:c r="AR115" s="12" t="str">
        <x:v>Inventário mestre completo atualizado em 2026-07-01</x:v>
      </x:c>
      <x:c r="AS115" s="12" t="str">
        <x:v>Confirmar peso</x:v>
      </x:c>
      <x:c r="AT115" s="12" t="str">
        <x:v>Identificação visual como rodolita; pendente de confirmação.</x:v>
      </x:c>
    </x:row>
    <x:row r="116">
      <x:c r="A116" s="12" t="str">
        <x:v>DG-RD-002</x:v>
      </x:c>
      <x:c r="B116" s="12" t="str"/>
      <x:c r="C116" s="12" t="str">
        <x:v>Royal Collection</x:v>
      </x:c>
      <x:c r="D116" s="12" t="str">
        <x:v>Rodolitas</x:v>
      </x:c>
      <x:c r="E116" s="12" t="str">
        <x:v>Granada</x:v>
      </x:c>
      <x:c r="F116" s="12" t="str">
        <x:v>Rodolita provisória</x:v>
      </x:c>
      <x:c r="G116" s="12" t="str">
        <x:v>Gema individual</x:v>
      </x:c>
      <x:c r="H116" s="18" t="n">
        <x:v>1</x:v>
      </x:c>
      <x:c r="I116" s="12" t="str">
        <x:v>Oval</x:v>
      </x:c>
      <x:c r="J116" s="12" t="str">
        <x:v>7 x 5</x:v>
      </x:c>
      <x:c r="K116" s="14" t="n">
        <x:v>1.2</x:v>
      </x:c>
      <x:c r="L116" s="12" t="str">
        <x:v>Não</x:v>
      </x:c>
      <x:c r="M116" s="12" t="str">
        <x:v>Estimativa por medidas</x:v>
      </x:c>
      <x:c r="N116" s="12" t="str">
        <x:v>Vinho / framboesa / magenta</x:v>
      </x:c>
      <x:c r="O116" s="12" t="str">
        <x:v>Transparente a translúcida</x:v>
      </x:c>
      <x:c r="P116" s="12" t="str">
        <x:v>Bahia</x:v>
      </x:c>
      <x:c r="Q116" s="12" t="str">
        <x:v>Não avaliado / não informado</x:v>
      </x:c>
      <x:c r="R116" s="12" t="str">
        <x:v>Não</x:v>
      </x:c>
      <x:c r="S116" s="12" t="str"/>
      <x:c r="T116" s="12" t="str"/>
      <x:c r="U116" s="20"/>
      <x:c r="V116" s="20" t="n">
        <x:v>192</x:v>
      </x:c>
      <x:c r="W116" s="20" t="n">
        <x:v>350</x:v>
      </x:c>
      <x:c r="X116" s="20" t="n">
        <x:v>350</x:v>
      </x:c>
      <x:c r="Y116" s="20" t="n">
        <x:v>350</x:v>
      </x:c>
      <x:c r="Z116" s="20" t="n">
        <x:v>1050</x:v>
      </x:c>
      <x:c r="AA116" s="20" t="n">
        <x:v>2100</x:v>
      </x:c>
      <x:c r="AB116" s="12" t="str">
        <x:v>Registrado no histórico</x:v>
      </x:c>
      <x:c r="AC116" s="16" t="n">
        <x:v>7.5</x:v>
      </x:c>
      <x:c r="AD116" s="12" t="str">
        <x:v>AA+</x:v>
      </x:c>
      <x:c r="AE116" s="12" t="str">
        <x:v>Baixa</x:v>
      </x:c>
      <x:c r="AF116" s="12" t="str">
        <x:v>Joias femininas, pingentes, brincos</x:v>
      </x:c>
      <x:c r="AG116" s="12" t="str">
        <x:v>Joias femininas, pingentes, brincos</x:v>
      </x:c>
      <x:c r="AH116" s="12" t="str">
        <x:v>Coleção</x:v>
      </x:c>
      <x:c r="AI116" s="12" t="str"/>
      <x:c r="AJ116" s="12" t="str"/>
      <x:c r="AK116" s="12" t="str"/>
      <x:c r="AL116" s="12" t="str"/>
      <x:c r="AM116" s="12" t="str">
        <x:v>Não informado</x:v>
      </x:c>
      <x:c r="AN116" s="12" t="str"/>
      <x:c r="AO116" s="12" t="str">
        <x:v>2026-07-01</x:v>
      </x:c>
      <x:c r="AP116" s="12" t="str">
        <x:v>2026-07-19</x:v>
      </x:c>
      <x:c r="AQ116" s="12" t="str">
        <x:v>Média</x:v>
      </x:c>
      <x:c r="AR116" s="12" t="str">
        <x:v>Inventário mestre completo atualizado em 2026-07-01</x:v>
      </x:c>
      <x:c r="AS116" s="12" t="str">
        <x:v>Confirmar peso</x:v>
      </x:c>
      <x:c r="AT116" s="12" t="str">
        <x:v>Identificação visual como rodolita; pendente de confirmação.</x:v>
      </x:c>
    </x:row>
    <x:row r="117">
      <x:c r="A117" s="12" t="str">
        <x:v>DG-RD-003</x:v>
      </x:c>
      <x:c r="B117" s="12" t="str"/>
      <x:c r="C117" s="12" t="str">
        <x:v>Royal Collection</x:v>
      </x:c>
      <x:c r="D117" s="12" t="str">
        <x:v>Rodolitas</x:v>
      </x:c>
      <x:c r="E117" s="12" t="str">
        <x:v>Granada</x:v>
      </x:c>
      <x:c r="F117" s="12" t="str">
        <x:v>Rodolita provisória</x:v>
      </x:c>
      <x:c r="G117" s="12" t="str">
        <x:v>Gema individual</x:v>
      </x:c>
      <x:c r="H117" s="18" t="n">
        <x:v>1</x:v>
      </x:c>
      <x:c r="I117" s="12" t="str">
        <x:v>Oval</x:v>
      </x:c>
      <x:c r="J117" s="12" t="str">
        <x:v>6 x 5</x:v>
      </x:c>
      <x:c r="K117" s="14" t="n">
        <x:v>0.9</x:v>
      </x:c>
      <x:c r="L117" s="12" t="str">
        <x:v>Não</x:v>
      </x:c>
      <x:c r="M117" s="12" t="str">
        <x:v>Estimativa por medidas</x:v>
      </x:c>
      <x:c r="N117" s="12" t="str">
        <x:v>Vinho / framboesa / magenta</x:v>
      </x:c>
      <x:c r="O117" s="12" t="str">
        <x:v>Transparente a translúcida</x:v>
      </x:c>
      <x:c r="P117" s="12" t="str">
        <x:v>Bahia</x:v>
      </x:c>
      <x:c r="Q117" s="12" t="str">
        <x:v>Não avaliado / não informado</x:v>
      </x:c>
      <x:c r="R117" s="12" t="str">
        <x:v>Não</x:v>
      </x:c>
      <x:c r="S117" s="12" t="str"/>
      <x:c r="T117" s="12" t="str"/>
      <x:c r="U117" s="20"/>
      <x:c r="V117" s="20" t="n">
        <x:v>137</x:v>
      </x:c>
      <x:c r="W117" s="20" t="n">
        <x:v>250</x:v>
      </x:c>
      <x:c r="X117" s="20" t="n">
        <x:v>250</x:v>
      </x:c>
      <x:c r="Y117" s="20" t="n">
        <x:v>250</x:v>
      </x:c>
      <x:c r="Z117" s="20" t="n">
        <x:v>750</x:v>
      </x:c>
      <x:c r="AA117" s="20" t="n">
        <x:v>1500</x:v>
      </x:c>
      <x:c r="AB117" s="12" t="str">
        <x:v>Registrado no histórico</x:v>
      </x:c>
      <x:c r="AC117" s="16" t="n">
        <x:v>7.5</x:v>
      </x:c>
      <x:c r="AD117" s="12" t="str">
        <x:v>AA+</x:v>
      </x:c>
      <x:c r="AE117" s="12" t="str">
        <x:v>Baixa</x:v>
      </x:c>
      <x:c r="AF117" s="12" t="str">
        <x:v>Joias femininas, pingentes, brincos</x:v>
      </x:c>
      <x:c r="AG117" s="12" t="str">
        <x:v>Joias femininas, pingentes, brincos</x:v>
      </x:c>
      <x:c r="AH117" s="12" t="str">
        <x:v>Coleção</x:v>
      </x:c>
      <x:c r="AI117" s="12" t="str"/>
      <x:c r="AJ117" s="12" t="str"/>
      <x:c r="AK117" s="12" t="str"/>
      <x:c r="AL117" s="12" t="str"/>
      <x:c r="AM117" s="12" t="str">
        <x:v>Não informado</x:v>
      </x:c>
      <x:c r="AN117" s="12" t="str"/>
      <x:c r="AO117" s="12" t="str">
        <x:v>2026-07-01</x:v>
      </x:c>
      <x:c r="AP117" s="12" t="str">
        <x:v>2026-07-19</x:v>
      </x:c>
      <x:c r="AQ117" s="12" t="str">
        <x:v>Média</x:v>
      </x:c>
      <x:c r="AR117" s="12" t="str">
        <x:v>Inventário mestre completo atualizado em 2026-07-01</x:v>
      </x:c>
      <x:c r="AS117" s="12" t="str">
        <x:v>Confirmar peso</x:v>
      </x:c>
      <x:c r="AT117" s="12" t="str">
        <x:v>Identificação visual como rodolita; pendente de confirmação.</x:v>
      </x:c>
    </x:row>
    <x:row r="118">
      <x:c r="A118" s="12" t="str">
        <x:v>DG-RD-004</x:v>
      </x:c>
      <x:c r="B118" s="12" t="str"/>
      <x:c r="C118" s="12" t="str">
        <x:v>Royal Collection</x:v>
      </x:c>
      <x:c r="D118" s="12" t="str">
        <x:v>Rodolitas</x:v>
      </x:c>
      <x:c r="E118" s="12" t="str">
        <x:v>Granada</x:v>
      </x:c>
      <x:c r="F118" s="12" t="str">
        <x:v>Rodolita provisória</x:v>
      </x:c>
      <x:c r="G118" s="12" t="str">
        <x:v>Gema individual</x:v>
      </x:c>
      <x:c r="H118" s="18" t="n">
        <x:v>1</x:v>
      </x:c>
      <x:c r="I118" s="12" t="str">
        <x:v>Oval</x:v>
      </x:c>
      <x:c r="J118" s="12" t="str">
        <x:v>6 x 5</x:v>
      </x:c>
      <x:c r="K118" s="14" t="n">
        <x:v>0.9</x:v>
      </x:c>
      <x:c r="L118" s="12" t="str">
        <x:v>Não</x:v>
      </x:c>
      <x:c r="M118" s="12" t="str">
        <x:v>Estimativa por medidas</x:v>
      </x:c>
      <x:c r="N118" s="12" t="str">
        <x:v>Vinho / framboesa / magenta</x:v>
      </x:c>
      <x:c r="O118" s="12" t="str">
        <x:v>Transparente a translúcida</x:v>
      </x:c>
      <x:c r="P118" s="12" t="str">
        <x:v>Bahia</x:v>
      </x:c>
      <x:c r="Q118" s="12" t="str">
        <x:v>Não avaliado / não informado</x:v>
      </x:c>
      <x:c r="R118" s="12" t="str">
        <x:v>Não</x:v>
      </x:c>
      <x:c r="S118" s="12" t="str"/>
      <x:c r="T118" s="12" t="str"/>
      <x:c r="U118" s="20"/>
      <x:c r="V118" s="20" t="n">
        <x:v>137</x:v>
      </x:c>
      <x:c r="W118" s="20" t="n">
        <x:v>250</x:v>
      </x:c>
      <x:c r="X118" s="20" t="n">
        <x:v>250</x:v>
      </x:c>
      <x:c r="Y118" s="20" t="n">
        <x:v>250</x:v>
      </x:c>
      <x:c r="Z118" s="20" t="n">
        <x:v>750</x:v>
      </x:c>
      <x:c r="AA118" s="20" t="n">
        <x:v>1500</x:v>
      </x:c>
      <x:c r="AB118" s="12" t="str">
        <x:v>Registrado no histórico</x:v>
      </x:c>
      <x:c r="AC118" s="16" t="n">
        <x:v>7.5</x:v>
      </x:c>
      <x:c r="AD118" s="12" t="str">
        <x:v>AA+</x:v>
      </x:c>
      <x:c r="AE118" s="12" t="str">
        <x:v>Baixa</x:v>
      </x:c>
      <x:c r="AF118" s="12" t="str">
        <x:v>Joias femininas, pingentes, brincos</x:v>
      </x:c>
      <x:c r="AG118" s="12" t="str">
        <x:v>Joias femininas, pingentes, brincos</x:v>
      </x:c>
      <x:c r="AH118" s="12" t="str">
        <x:v>Coleção</x:v>
      </x:c>
      <x:c r="AI118" s="12" t="str"/>
      <x:c r="AJ118" s="12" t="str"/>
      <x:c r="AK118" s="12" t="str"/>
      <x:c r="AL118" s="12" t="str"/>
      <x:c r="AM118" s="12" t="str">
        <x:v>Não informado</x:v>
      </x:c>
      <x:c r="AN118" s="12" t="str"/>
      <x:c r="AO118" s="12" t="str">
        <x:v>2026-07-01</x:v>
      </x:c>
      <x:c r="AP118" s="12" t="str">
        <x:v>2026-07-19</x:v>
      </x:c>
      <x:c r="AQ118" s="12" t="str">
        <x:v>Média</x:v>
      </x:c>
      <x:c r="AR118" s="12" t="str">
        <x:v>Inventário mestre completo atualizado em 2026-07-01</x:v>
      </x:c>
      <x:c r="AS118" s="12" t="str">
        <x:v>Confirmar peso</x:v>
      </x:c>
      <x:c r="AT118" s="12" t="str">
        <x:v>Identificação visual como rodolita; pendente de confirmação.</x:v>
      </x:c>
    </x:row>
    <x:row r="119">
      <x:c r="A119" s="12" t="str">
        <x:v>DG-RD-005</x:v>
      </x:c>
      <x:c r="B119" s="12" t="str"/>
      <x:c r="C119" s="12" t="str">
        <x:v>Royal Collection</x:v>
      </x:c>
      <x:c r="D119" s="12" t="str">
        <x:v>Rodolitas</x:v>
      </x:c>
      <x:c r="E119" s="12" t="str">
        <x:v>Granada</x:v>
      </x:c>
      <x:c r="F119" s="12" t="str">
        <x:v>Rodolita provisória</x:v>
      </x:c>
      <x:c r="G119" s="12" t="str">
        <x:v>Gema individual</x:v>
      </x:c>
      <x:c r="H119" s="18" t="n">
        <x:v>1</x:v>
      </x:c>
      <x:c r="I119" s="12" t="str">
        <x:v>Oval</x:v>
      </x:c>
      <x:c r="J119" s="12" t="str">
        <x:v>6 x 5</x:v>
      </x:c>
      <x:c r="K119" s="14" t="n">
        <x:v>0.9</x:v>
      </x:c>
      <x:c r="L119" s="12" t="str">
        <x:v>Não</x:v>
      </x:c>
      <x:c r="M119" s="12" t="str">
        <x:v>Estimativa por medidas</x:v>
      </x:c>
      <x:c r="N119" s="12" t="str">
        <x:v>Vinho / framboesa / magenta</x:v>
      </x:c>
      <x:c r="O119" s="12" t="str">
        <x:v>Transparente a translúcida</x:v>
      </x:c>
      <x:c r="P119" s="12" t="str">
        <x:v>Bahia</x:v>
      </x:c>
      <x:c r="Q119" s="12" t="str">
        <x:v>Não avaliado / não informado</x:v>
      </x:c>
      <x:c r="R119" s="12" t="str">
        <x:v>Não</x:v>
      </x:c>
      <x:c r="S119" s="12" t="str"/>
      <x:c r="T119" s="12" t="str"/>
      <x:c r="U119" s="20"/>
      <x:c r="V119" s="20" t="n">
        <x:v>137</x:v>
      </x:c>
      <x:c r="W119" s="20" t="n">
        <x:v>250</x:v>
      </x:c>
      <x:c r="X119" s="20" t="n">
        <x:v>250</x:v>
      </x:c>
      <x:c r="Y119" s="20" t="n">
        <x:v>250</x:v>
      </x:c>
      <x:c r="Z119" s="20" t="n">
        <x:v>750</x:v>
      </x:c>
      <x:c r="AA119" s="20" t="n">
        <x:v>1500</x:v>
      </x:c>
      <x:c r="AB119" s="12" t="str">
        <x:v>Registrado no histórico</x:v>
      </x:c>
      <x:c r="AC119" s="16" t="n">
        <x:v>7.5</x:v>
      </x:c>
      <x:c r="AD119" s="12" t="str">
        <x:v>AA+</x:v>
      </x:c>
      <x:c r="AE119" s="12" t="str">
        <x:v>Baixa</x:v>
      </x:c>
      <x:c r="AF119" s="12" t="str">
        <x:v>Joias femininas, pingentes, brincos</x:v>
      </x:c>
      <x:c r="AG119" s="12" t="str">
        <x:v>Joias femininas, pingentes, brincos</x:v>
      </x:c>
      <x:c r="AH119" s="12" t="str">
        <x:v>Coleção</x:v>
      </x:c>
      <x:c r="AI119" s="12" t="str"/>
      <x:c r="AJ119" s="12" t="str"/>
      <x:c r="AK119" s="12" t="str"/>
      <x:c r="AL119" s="12" t="str"/>
      <x:c r="AM119" s="12" t="str">
        <x:v>Não informado</x:v>
      </x:c>
      <x:c r="AN119" s="12" t="str"/>
      <x:c r="AO119" s="12" t="str">
        <x:v>2026-07-01</x:v>
      </x:c>
      <x:c r="AP119" s="12" t="str">
        <x:v>2026-07-19</x:v>
      </x:c>
      <x:c r="AQ119" s="12" t="str">
        <x:v>Média</x:v>
      </x:c>
      <x:c r="AR119" s="12" t="str">
        <x:v>Inventário mestre completo atualizado em 2026-07-01</x:v>
      </x:c>
      <x:c r="AS119" s="12" t="str">
        <x:v>Confirmar peso</x:v>
      </x:c>
      <x:c r="AT119" s="12" t="str">
        <x:v>Identificação visual como rodolita; pendente de confirmação.</x:v>
      </x:c>
    </x:row>
    <x:row r="120">
      <x:c r="A120" s="12" t="str">
        <x:v>DG-RD-006</x:v>
      </x:c>
      <x:c r="B120" s="12" t="str"/>
      <x:c r="C120" s="12" t="str">
        <x:v>Royal Collection</x:v>
      </x:c>
      <x:c r="D120" s="12" t="str">
        <x:v>Rodolitas</x:v>
      </x:c>
      <x:c r="E120" s="12" t="str">
        <x:v>Granada</x:v>
      </x:c>
      <x:c r="F120" s="12" t="str">
        <x:v>Rodolita provisória</x:v>
      </x:c>
      <x:c r="G120" s="12" t="str">
        <x:v>Gema individual</x:v>
      </x:c>
      <x:c r="H120" s="18" t="n">
        <x:v>1</x:v>
      </x:c>
      <x:c r="I120" s="12" t="str">
        <x:v>Quadrada/Princesa</x:v>
      </x:c>
      <x:c r="J120" s="12" t="str">
        <x:v>5 x 5</x:v>
      </x:c>
      <x:c r="K120" s="14" t="n">
        <x:v>0.75</x:v>
      </x:c>
      <x:c r="L120" s="12" t="str">
        <x:v>Não</x:v>
      </x:c>
      <x:c r="M120" s="12" t="str">
        <x:v>Estimativa por medidas</x:v>
      </x:c>
      <x:c r="N120" s="12" t="str">
        <x:v>Vinho / framboesa / magenta</x:v>
      </x:c>
      <x:c r="O120" s="12" t="str">
        <x:v>Transparente a translúcida</x:v>
      </x:c>
      <x:c r="P120" s="12" t="str">
        <x:v>Bahia</x:v>
      </x:c>
      <x:c r="Q120" s="12" t="str">
        <x:v>Não avaliado / não informado</x:v>
      </x:c>
      <x:c r="R120" s="12" t="str">
        <x:v>Não</x:v>
      </x:c>
      <x:c r="S120" s="12" t="str"/>
      <x:c r="T120" s="12" t="str"/>
      <x:c r="U120" s="20"/>
      <x:c r="V120" s="20" t="n">
        <x:v>121</x:v>
      </x:c>
      <x:c r="W120" s="20" t="n">
        <x:v>220</x:v>
      </x:c>
      <x:c r="X120" s="20" t="n">
        <x:v>220</x:v>
      </x:c>
      <x:c r="Y120" s="20" t="n">
        <x:v>220</x:v>
      </x:c>
      <x:c r="Z120" s="20" t="n">
        <x:v>660</x:v>
      </x:c>
      <x:c r="AA120" s="20" t="n">
        <x:v>1320</x:v>
      </x:c>
      <x:c r="AB120" s="12" t="str">
        <x:v>Registrado no histórico</x:v>
      </x:c>
      <x:c r="AC120" s="16" t="n">
        <x:v>7.5</x:v>
      </x:c>
      <x:c r="AD120" s="12" t="str">
        <x:v>AA+</x:v>
      </x:c>
      <x:c r="AE120" s="12" t="str">
        <x:v>Baixa</x:v>
      </x:c>
      <x:c r="AF120" s="12" t="str">
        <x:v>Joias femininas, pingentes, brincos</x:v>
      </x:c>
      <x:c r="AG120" s="12" t="str">
        <x:v>Joias femininas, pingentes, brincos</x:v>
      </x:c>
      <x:c r="AH120" s="12" t="str">
        <x:v>Coleção</x:v>
      </x:c>
      <x:c r="AI120" s="12" t="str"/>
      <x:c r="AJ120" s="12" t="str"/>
      <x:c r="AK120" s="12" t="str"/>
      <x:c r="AL120" s="12" t="str"/>
      <x:c r="AM120" s="12" t="str">
        <x:v>Não informado</x:v>
      </x:c>
      <x:c r="AN120" s="12" t="str"/>
      <x:c r="AO120" s="12" t="str">
        <x:v>2026-07-01</x:v>
      </x:c>
      <x:c r="AP120" s="12" t="str">
        <x:v>2026-07-19</x:v>
      </x:c>
      <x:c r="AQ120" s="12" t="str">
        <x:v>Média</x:v>
      </x:c>
      <x:c r="AR120" s="12" t="str">
        <x:v>Inventário mestre completo atualizado em 2026-07-01</x:v>
      </x:c>
      <x:c r="AS120" s="12" t="str">
        <x:v>Confirmar peso</x:v>
      </x:c>
      <x:c r="AT120" s="12" t="str">
        <x:v>Identificação visual como rodolita; pendente de confirmação.</x:v>
      </x:c>
    </x:row>
    <x:row r="121">
      <x:c r="A121" s="12" t="str">
        <x:v>DG-RD-007</x:v>
      </x:c>
      <x:c r="B121" s="12" t="str"/>
      <x:c r="C121" s="12" t="str">
        <x:v>Royal Collection</x:v>
      </x:c>
      <x:c r="D121" s="12" t="str">
        <x:v>Rodolitas</x:v>
      </x:c>
      <x:c r="E121" s="12" t="str">
        <x:v>Granada</x:v>
      </x:c>
      <x:c r="F121" s="12" t="str">
        <x:v>Rodolita provisória</x:v>
      </x:c>
      <x:c r="G121" s="12" t="str">
        <x:v>Gema individual</x:v>
      </x:c>
      <x:c r="H121" s="18" t="n">
        <x:v>1</x:v>
      </x:c>
      <x:c r="I121" s="12" t="str">
        <x:v>Redonda</x:v>
      </x:c>
      <x:c r="J121" s="12" t="str">
        <x:v>5 x 5</x:v>
      </x:c>
      <x:c r="K121" s="14" t="n">
        <x:v>0.6</x:v>
      </x:c>
      <x:c r="L121" s="12" t="str">
        <x:v>Não</x:v>
      </x:c>
      <x:c r="M121" s="12" t="str">
        <x:v>Estimativa por medidas</x:v>
      </x:c>
      <x:c r="N121" s="12" t="str">
        <x:v>Vinho / framboesa / magenta</x:v>
      </x:c>
      <x:c r="O121" s="12" t="str">
        <x:v>Transparente a translúcida</x:v>
      </x:c>
      <x:c r="P121" s="12" t="str">
        <x:v>Bahia</x:v>
      </x:c>
      <x:c r="Q121" s="12" t="str">
        <x:v>Não avaliado / não informado</x:v>
      </x:c>
      <x:c r="R121" s="12" t="str">
        <x:v>Não</x:v>
      </x:c>
      <x:c r="S121" s="12" t="str"/>
      <x:c r="T121" s="12" t="str"/>
      <x:c r="U121" s="20"/>
      <x:c r="V121" s="20" t="n">
        <x:v>99</x:v>
      </x:c>
      <x:c r="W121" s="20" t="n">
        <x:v>180</x:v>
      </x:c>
      <x:c r="X121" s="20" t="n">
        <x:v>180</x:v>
      </x:c>
      <x:c r="Y121" s="20" t="n">
        <x:v>180</x:v>
      </x:c>
      <x:c r="Z121" s="20" t="n">
        <x:v>540</x:v>
      </x:c>
      <x:c r="AA121" s="20" t="n">
        <x:v>1080</x:v>
      </x:c>
      <x:c r="AB121" s="12" t="str">
        <x:v>Registrado no histórico</x:v>
      </x:c>
      <x:c r="AC121" s="16" t="n">
        <x:v>7.5</x:v>
      </x:c>
      <x:c r="AD121" s="12" t="str">
        <x:v>AA+</x:v>
      </x:c>
      <x:c r="AE121" s="12" t="str">
        <x:v>Baixa</x:v>
      </x:c>
      <x:c r="AF121" s="12" t="str">
        <x:v>Joias femininas, pingentes, brincos</x:v>
      </x:c>
      <x:c r="AG121" s="12" t="str">
        <x:v>Joias femininas, pingentes, brincos</x:v>
      </x:c>
      <x:c r="AH121" s="12" t="str">
        <x:v>Coleção</x:v>
      </x:c>
      <x:c r="AI121" s="12" t="str"/>
      <x:c r="AJ121" s="12" t="str"/>
      <x:c r="AK121" s="12" t="str"/>
      <x:c r="AL121" s="12" t="str"/>
      <x:c r="AM121" s="12" t="str">
        <x:v>Não informado</x:v>
      </x:c>
      <x:c r="AN121" s="12" t="str"/>
      <x:c r="AO121" s="12" t="str">
        <x:v>2026-07-01</x:v>
      </x:c>
      <x:c r="AP121" s="12" t="str">
        <x:v>2026-07-19</x:v>
      </x:c>
      <x:c r="AQ121" s="12" t="str">
        <x:v>Média</x:v>
      </x:c>
      <x:c r="AR121" s="12" t="str">
        <x:v>Inventário mestre completo atualizado em 2026-07-01</x:v>
      </x:c>
      <x:c r="AS121" s="12" t="str">
        <x:v>Confirmar peso</x:v>
      </x:c>
      <x:c r="AT121" s="12" t="str">
        <x:v>Identificação visual como rodolita; pendente de confirmação.</x:v>
      </x:c>
    </x:row>
    <x:row r="122">
      <x:c r="A122" s="12" t="str">
        <x:v>DG-GR-001</x:v>
      </x:c>
      <x:c r="B122" s="12" t="str"/>
      <x:c r="C122" s="12" t="str">
        <x:v>Garnet Collection</x:v>
      </x:c>
      <x:c r="D122" s="12" t="str">
        <x:v>Granadas</x:v>
      </x:c>
      <x:c r="E122" s="12" t="str">
        <x:v>Granada</x:v>
      </x:c>
      <x:c r="F122" s="12" t="str">
        <x:v>Almandina/Piropo provável</x:v>
      </x:c>
      <x:c r="G122" s="12" t="str">
        <x:v>Lote</x:v>
      </x:c>
      <x:c r="H122" s="18" t="n">
        <x:v>15</x:v>
      </x:c>
      <x:c r="I122" s="12" t="str">
        <x:v>Ovais + 1 retangular</x:v>
      </x:c>
      <x:c r="J122" s="12" t="str">
        <x:v>Ovais 6x5; retangular 6x4</x:v>
      </x:c>
      <x:c r="K122" s="14" t="n">
        <x:v>7.49</x:v>
      </x:c>
      <x:c r="L122" s="12" t="str">
        <x:v>Sim (calculado)</x:v>
      </x:c>
      <x:c r="M122" s="12" t="str">
        <x:v>14 ovais × 0,485 ct + 1 retangular × 0,700 ct</x:v>
      </x:c>
      <x:c r="N122" s="12" t="str">
        <x:v>Vermelho conhaque / canela</x:v>
      </x:c>
      <x:c r="O122" s="12" t="str">
        <x:v>Transparente a translúcida</x:v>
      </x:c>
      <x:c r="P122" s="12" t="str"/>
      <x:c r="Q122" s="12" t="str">
        <x:v>Não avaliado / não informado</x:v>
      </x:c>
      <x:c r="R122" s="12" t="str">
        <x:v>Não</x:v>
      </x:c>
      <x:c r="S122" s="12" t="str"/>
      <x:c r="T122" s="12" t="str"/>
      <x:c r="U122" s="20" t="n">
        <x:v>150</x:v>
      </x:c>
      <x:c r="V122" s="20" t="n">
        <x:v>600</x:v>
      </x:c>
      <x:c r="W122" s="20" t="n">
        <x:v>1200</x:v>
      </x:c>
      <x:c r="X122" s="20" t="n">
        <x:v>600</x:v>
      </x:c>
      <x:c r="Y122" s="20" t="n">
        <x:v>1200</x:v>
      </x:c>
      <x:c r="Z122" s="20" t="n">
        <x:v>4000</x:v>
      </x:c>
      <x:c r="AA122" s="20" t="n">
        <x:v>10000</x:v>
      </x:c>
      <x:c r="AB122" s="12" t="str">
        <x:v>Registrado no histórico</x:v>
      </x:c>
      <x:c r="AC122" s="16" t="n">
        <x:v>7.6</x:v>
      </x:c>
      <x:c r="AD122" s="12" t="str">
        <x:v>B+</x:v>
      </x:c>
      <x:c r="AE122" s="12" t="str">
        <x:v>Baixa</x:v>
      </x:c>
      <x:c r="AF122" s="12" t="str">
        <x:v>Anéis masculinos, brincos, pingentes vintage</x:v>
      </x:c>
      <x:c r="AG122" s="12" t="str">
        <x:v>Anéis masculinos, brincos, pingentes vintage</x:v>
      </x:c>
      <x:c r="AH122" s="12" t="str">
        <x:v>Coleção</x:v>
      </x:c>
      <x:c r="AI122" s="12" t="str"/>
      <x:c r="AJ122" s="12" t="str"/>
      <x:c r="AK122" s="12" t="str"/>
      <x:c r="AL122" s="12" t="str"/>
      <x:c r="AM122" s="12" t="str">
        <x:v>Não informado</x:v>
      </x:c>
      <x:c r="AN122" s="12" t="str"/>
      <x:c r="AO122" s="12" t="str">
        <x:v>2026-07-01</x:v>
      </x:c>
      <x:c r="AP122" s="12" t="str">
        <x:v>2026-07-19</x:v>
      </x:c>
      <x:c r="AQ122" s="12" t="str">
        <x:v>Alta</x:v>
      </x:c>
      <x:c r="AR122" s="12" t="str">
        <x:v>Inventário mestre completo atualizado em 2026-07-01</x:v>
      </x:c>
      <x:c r="AS122" s="12" t="str">
        <x:v>Confirmar identificação em laboratório</x:v>
      </x:c>
      <x:c r="AT122" s="12" t="str">
        <x:v>Quantidade visual aproximada; confirmar posteriormente. Composição atualizada: 14 granadas ovais com média de 0,485 ct e 1 granada retangular de 0,700 ct. Peso total do lote: 7,490 ct.</x:v>
      </x:c>
    </x:row>
    <x:row r="123">
      <x:c r="A123" s="12" t="str">
        <x:v>DG-TB-001</x:v>
      </x:c>
      <x:c r="B123" s="12" t="str"/>
      <x:c r="C123" s="12" t="str">
        <x:v>Classic Collection</x:v>
      </x:c>
      <x:c r="D123" s="12" t="str">
        <x:v>Topázios</x:v>
      </x:c>
      <x:c r="E123" s="12" t="str">
        <x:v>Topázio</x:v>
      </x:c>
      <x:c r="F123" s="12" t="str">
        <x:v>Azul</x:v>
      </x:c>
      <x:c r="G123" s="12" t="str">
        <x:v>Gema individual</x:v>
      </x:c>
      <x:c r="H123" s="18" t="n">
        <x:v>1</x:v>
      </x:c>
      <x:c r="I123" s="12" t="str">
        <x:v>Oval</x:v>
      </x:c>
      <x:c r="J123" s="12" t="str">
        <x:v>7 x 5</x:v>
      </x:c>
      <x:c r="K123" s="14" t="n">
        <x:v>0.95</x:v>
      </x:c>
      <x:c r="L123" s="12" t="str">
        <x:v>Não</x:v>
      </x:c>
      <x:c r="M123" s="12" t="str">
        <x:v>Estimativa por medidas</x:v>
      </x:c>
      <x:c r="N123" s="12" t="str">
        <x:v>Sky Blue</x:v>
      </x:c>
      <x:c r="O123" s="12" t="str">
        <x:v>Transparente</x:v>
      </x:c>
      <x:c r="P123" s="12" t="str"/>
      <x:c r="Q123" s="12" t="str">
        <x:v>Não avaliado / não informado</x:v>
      </x:c>
      <x:c r="R123" s="12" t="str">
        <x:v>Não</x:v>
      </x:c>
      <x:c r="S123" s="12" t="str"/>
      <x:c r="T123" s="12" t="str"/>
      <x:c r="U123" s="20"/>
      <x:c r="V123" s="20" t="n">
        <x:v>180</x:v>
      </x:c>
      <x:c r="W123" s="20" t="n">
        <x:v>350</x:v>
      </x:c>
      <x:c r="X123" s="20" t="n">
        <x:v>180</x:v>
      </x:c>
      <x:c r="Y123" s="20" t="n">
        <x:v>350</x:v>
      </x:c>
      <x:c r="Z123" s="20" t="n">
        <x:v>900</x:v>
      </x:c>
      <x:c r="AA123" s="20" t="n">
        <x:v>2200</x:v>
      </x:c>
      <x:c r="AB123" s="12" t="str">
        <x:v>Registrado no histórico</x:v>
      </x:c>
      <x:c r="AC123" s="16" t="n">
        <x:v>7.4</x:v>
      </x:c>
      <x:c r="AD123" s="12" t="str">
        <x:v>B</x:v>
      </x:c>
      <x:c r="AE123" s="12" t="str">
        <x:v>Baixa</x:v>
      </x:c>
      <x:c r="AF123" s="12" t="str">
        <x:v>Anel solitário / pingente</x:v>
      </x:c>
      <x:c r="AG123" s="12" t="str">
        <x:v>Anel solitário / pingente</x:v>
      </x:c>
      <x:c r="AH123" s="12" t="str">
        <x:v>Coleção</x:v>
      </x:c>
      <x:c r="AI123" s="12" t="str"/>
      <x:c r="AJ123" s="12" t="str"/>
      <x:c r="AK123" s="12" t="str"/>
      <x:c r="AL123" s="12" t="str"/>
      <x:c r="AM123" s="12" t="str">
        <x:v>Não informado</x:v>
      </x:c>
      <x:c r="AN123" s="12" t="str"/>
      <x:c r="AO123" s="12" t="str">
        <x:v>2026-07-01</x:v>
      </x:c>
      <x:c r="AP123" s="12" t="str">
        <x:v>2026-07-19</x:v>
      </x:c>
      <x:c r="AQ123" s="12" t="str">
        <x:v>Média</x:v>
      </x:c>
      <x:c r="AR123" s="12" t="str">
        <x:v>Inventário mestre completo atualizado em 2026-07-01</x:v>
      </x:c>
      <x:c r="AS123" s="12" t="str">
        <x:v>Confirmar peso</x:v>
      </x:c>
      <x:c r="AT123" s="12" t="str"/>
    </x:row>
    <x:row r="124">
      <x:c r="A124" s="12" t="str">
        <x:v>DG-TB-002</x:v>
      </x:c>
      <x:c r="B124" s="12" t="str"/>
      <x:c r="C124" s="12" t="str">
        <x:v>Classic Collection</x:v>
      </x:c>
      <x:c r="D124" s="12" t="str">
        <x:v>Topázios</x:v>
      </x:c>
      <x:c r="E124" s="12" t="str">
        <x:v>Topázio</x:v>
      </x:c>
      <x:c r="F124" s="12" t="str">
        <x:v>Azul</x:v>
      </x:c>
      <x:c r="G124" s="12" t="str">
        <x:v>Lote</x:v>
      </x:c>
      <x:c r="H124" s="18" t="n">
        <x:v>6</x:v>
      </x:c>
      <x:c r="I124" s="12" t="str">
        <x:v>3 redondas + trillion + princess + retangular</x:v>
      </x:c>
      <x:c r="J124" s="12" t="str">
        <x:v>5x5; retangular 7x5</x:v>
      </x:c>
      <x:c r="K124" s="14" t="n">
        <x:v>3.8</x:v>
      </x:c>
      <x:c r="L124" s="12" t="str">
        <x:v>Não</x:v>
      </x:c>
      <x:c r="M124" s="12" t="str">
        <x:v>Estimativa por medidas</x:v>
      </x:c>
      <x:c r="N124" s="12" t="str">
        <x:v>Sky Blue</x:v>
      </x:c>
      <x:c r="O124" s="12" t="str">
        <x:v>Transparente</x:v>
      </x:c>
      <x:c r="P124" s="12" t="str"/>
      <x:c r="Q124" s="12" t="str">
        <x:v>Não avaliado / não informado</x:v>
      </x:c>
      <x:c r="R124" s="12" t="str">
        <x:v>Não</x:v>
      </x:c>
      <x:c r="S124" s="12" t="str"/>
      <x:c r="T124" s="12" t="str"/>
      <x:c r="U124" s="20"/>
      <x:c r="V124" s="20" t="n">
        <x:v>1220</x:v>
      </x:c>
      <x:c r="W124" s="20" t="n">
        <x:v>2350</x:v>
      </x:c>
      <x:c r="X124" s="20" t="n">
        <x:v>1220</x:v>
      </x:c>
      <x:c r="Y124" s="20" t="n">
        <x:v>2350</x:v>
      </x:c>
      <x:c r="Z124" s="20" t="n">
        <x:v>7100</x:v>
      </x:c>
      <x:c r="AA124" s="20" t="n">
        <x:v>15800</x:v>
      </x:c>
      <x:c r="AB124" s="12" t="str">
        <x:v>Registrado no histórico</x:v>
      </x:c>
      <x:c r="AC124" s="16" t="n">
        <x:v>7.3</x:v>
      </x:c>
      <x:c r="AD124" s="12" t="str">
        <x:v>B</x:v>
      </x:c>
      <x:c r="AE124" s="12" t="str">
        <x:v>Baixa</x:v>
      </x:c>
      <x:c r="AF124" s="12" t="str">
        <x:v>Coleção Geometry / Ocean / Ice</x:v>
      </x:c>
      <x:c r="AG124" s="12" t="str">
        <x:v>Coleção Geometry / Ocean / Ice</x:v>
      </x:c>
      <x:c r="AH124" s="12" t="str">
        <x:v>Coleção</x:v>
      </x:c>
      <x:c r="AI124" s="12" t="str"/>
      <x:c r="AJ124" s="12" t="str"/>
      <x:c r="AK124" s="12" t="str"/>
      <x:c r="AL124" s="12" t="str"/>
      <x:c r="AM124" s="12" t="str">
        <x:v>Não informado</x:v>
      </x:c>
      <x:c r="AN124" s="12" t="str"/>
      <x:c r="AO124" s="12" t="str">
        <x:v>2026-07-01</x:v>
      </x:c>
      <x:c r="AP124" s="12" t="str">
        <x:v>2026-07-19</x:v>
      </x:c>
      <x:c r="AQ124" s="12" t="str">
        <x:v>Média</x:v>
      </x:c>
      <x:c r="AR124" s="12" t="str">
        <x:v>Inventário mestre completo atualizado em 2026-07-01</x:v>
      </x:c>
      <x:c r="AS124" s="12" t="str">
        <x:v>Confirmar peso</x:v>
      </x:c>
      <x:c r="AT124" s="12" t="str"/>
    </x:row>
    <x:row r="125">
      <x:c r="A125" s="12" t="str">
        <x:v>DG-TI-001</x:v>
      </x:c>
      <x:c r="B125" s="12" t="str"/>
      <x:c r="C125" s="12" t="str">
        <x:v>Imperial Collection</x:v>
      </x:c>
      <x:c r="D125" s="12" t="str">
        <x:v>Topázios</x:v>
      </x:c>
      <x:c r="E125" s="12" t="str">
        <x:v>Topázio</x:v>
      </x:c>
      <x:c r="F125" s="12" t="str">
        <x:v>Imperial</x:v>
      </x:c>
      <x:c r="G125" s="12" t="str">
        <x:v>Gema individual</x:v>
      </x:c>
      <x:c r="H125" s="18" t="n">
        <x:v>1</x:v>
      </x:c>
      <x:c r="I125" s="12" t="str">
        <x:v>Gota</x:v>
      </x:c>
      <x:c r="J125" s="12" t="str">
        <x:v>10 x 5</x:v>
      </x:c>
      <x:c r="K125" s="14" t="n">
        <x:v>1.85</x:v>
      </x:c>
      <x:c r="L125" s="12" t="str">
        <x:v>Não</x:v>
      </x:c>
      <x:c r="M125" s="12" t="str">
        <x:v>Estimativa por medidas</x:v>
      </x:c>
      <x:c r="N125" s="12" t="str">
        <x:v>Champagne / Laranja Dourado / Conhaque</x:v>
      </x:c>
      <x:c r="O125" s="12" t="str">
        <x:v>Transparente</x:v>
      </x:c>
      <x:c r="P125" s="12" t="str">
        <x:v>Brasil</x:v>
      </x:c>
      <x:c r="Q125" s="12" t="str">
        <x:v>Não avaliado / não informado</x:v>
      </x:c>
      <x:c r="R125" s="12" t="str">
        <x:v>Não</x:v>
      </x:c>
      <x:c r="S125" s="12" t="str"/>
      <x:c r="T125" s="12" t="str"/>
      <x:c r="U125" s="20"/>
      <x:c r="V125" s="20" t="n">
        <x:v>2500</x:v>
      </x:c>
      <x:c r="W125" s="20" t="n">
        <x:v>4000</x:v>
      </x:c>
      <x:c r="X125" s="20" t="n">
        <x:v>4500</x:v>
      </x:c>
      <x:c r="Y125" s="20" t="n">
        <x:v>7500</x:v>
      </x:c>
      <x:c r="Z125" s="20" t="n">
        <x:v>7000</x:v>
      </x:c>
      <x:c r="AA125" s="20" t="n">
        <x:v>10000</x:v>
      </x:c>
      <x:c r="AB125" s="12" t="str">
        <x:v>Registrado no histórico</x:v>
      </x:c>
      <x:c r="AC125" s="16" t="n">
        <x:v>8.8</x:v>
      </x:c>
      <x:c r="AD125" s="12" t="str">
        <x:v>A-</x:v>
      </x:c>
      <x:c r="AE125" s="12" t="str">
        <x:v>Média</x:v>
      </x:c>
      <x:c r="AF125" s="12" t="str">
        <x:v>Pingente premium com Paraíba/diamantes</x:v>
      </x:c>
      <x:c r="AG125" s="12" t="str">
        <x:v>Pingente premium com Paraíba/diamantes</x:v>
      </x:c>
      <x:c r="AH125" s="12" t="str">
        <x:v>Coleção</x:v>
      </x:c>
      <x:c r="AI125" s="12" t="str"/>
      <x:c r="AJ125" s="12" t="str"/>
      <x:c r="AK125" s="12" t="str"/>
      <x:c r="AL125" s="12" t="str"/>
      <x:c r="AM125" s="12" t="str">
        <x:v>Não informado</x:v>
      </x:c>
      <x:c r="AN125" s="12" t="str"/>
      <x:c r="AO125" s="12" t="str">
        <x:v>2026-07-01</x:v>
      </x:c>
      <x:c r="AP125" s="12" t="str">
        <x:v>2026-07-19</x:v>
      </x:c>
      <x:c r="AQ125" s="12" t="str">
        <x:v>Média</x:v>
      </x:c>
      <x:c r="AR125" s="12" t="str">
        <x:v>Inventário mestre completo atualizado em 2026-07-01</x:v>
      </x:c>
      <x:c r="AS125" s="12" t="str">
        <x:v>Confirmar peso; Avaliar certificação</x:v>
      </x:c>
      <x:c r="AT125" s="12" t="str">
        <x:v>Atualizar quando houver peso real.</x:v>
      </x:c>
    </x:row>
    <x:row r="126">
      <x:c r="A126" s="12" t="str">
        <x:v>DG-AM-001</x:v>
      </x:c>
      <x:c r="B126" s="12" t="str"/>
      <x:c r="C126" s="12" t="str">
        <x:v>Classic Collection</x:v>
      </x:c>
      <x:c r="D126" s="12" t="str">
        <x:v>Ametistas</x:v>
      </x:c>
      <x:c r="E126" s="12" t="str">
        <x:v>Ametista</x:v>
      </x:c>
      <x:c r="F126" s="12" t="str">
        <x:v>Natural</x:v>
      </x:c>
      <x:c r="G126" s="12" t="str">
        <x:v>Lote</x:v>
      </x:c>
      <x:c r="H126" s="18" t="n">
        <x:v>9</x:v>
      </x:c>
      <x:c r="I126" s="12" t="str">
        <x:v>Coração</x:v>
      </x:c>
      <x:c r="J126" s="12" t="str">
        <x:v>5 x 5 cada</x:v>
      </x:c>
      <x:c r="K126" s="14" t="n">
        <x:v>4.68</x:v>
      </x:c>
      <x:c r="L126" s="12" t="str">
        <x:v>Não</x:v>
      </x:c>
      <x:c r="M126" s="12" t="str">
        <x:v>Estimativa por medidas</x:v>
      </x:c>
      <x:c r="N126" s="12" t="str">
        <x:v>Roxo médio/intenso/lavanda</x:v>
      </x:c>
      <x:c r="O126" s="12" t="str">
        <x:v>Transparente</x:v>
      </x:c>
      <x:c r="P126" s="12" t="str"/>
      <x:c r="Q126" s="12" t="str">
        <x:v>Não avaliado / não informado</x:v>
      </x:c>
      <x:c r="R126" s="12" t="str">
        <x:v>Não</x:v>
      </x:c>
      <x:c r="S126" s="12" t="str"/>
      <x:c r="T126" s="12" t="str"/>
      <x:c r="U126" s="20" t="n">
        <x:v>112.5</x:v>
      </x:c>
      <x:c r="V126" s="20" t="n">
        <x:v>315</x:v>
      </x:c>
      <x:c r="W126" s="20" t="n">
        <x:v>720</x:v>
      </x:c>
      <x:c r="X126" s="20" t="n">
        <x:v>315</x:v>
      </x:c>
      <x:c r="Y126" s="20" t="n">
        <x:v>720</x:v>
      </x:c>
      <x:c r="Z126" s="20" t="n">
        <x:v>1500</x:v>
      </x:c>
      <x:c r="AA126" s="20" t="n">
        <x:v>4500</x:v>
      </x:c>
      <x:c r="AB126" s="12" t="str">
        <x:v>Registrado no histórico</x:v>
      </x:c>
      <x:c r="AC126" s="16" t="n">
        <x:v>7.8</x:v>
      </x:c>
      <x:c r="AD126" s="12" t="str">
        <x:v>B</x:v>
      </x:c>
      <x:c r="AE126" s="12" t="str">
        <x:v>Baixa</x:v>
      </x:c>
      <x:c r="AF126" s="12" t="str">
        <x:v>Brincos, pulseira, colar Floating Hearts</x:v>
      </x:c>
      <x:c r="AG126" s="12" t="str">
        <x:v>Brincos, pulseira, colar Floating Hearts</x:v>
      </x:c>
      <x:c r="AH126" s="12" t="str">
        <x:v>Coleção</x:v>
      </x:c>
      <x:c r="AI126" s="12" t="str"/>
      <x:c r="AJ126" s="12" t="str"/>
      <x:c r="AK126" s="12" t="str"/>
      <x:c r="AL126" s="12" t="str"/>
      <x:c r="AM126" s="12" t="str">
        <x:v>Não informado</x:v>
      </x:c>
      <x:c r="AN126" s="12" t="str"/>
      <x:c r="AO126" s="12" t="str">
        <x:v>2026-07-01</x:v>
      </x:c>
      <x:c r="AP126" s="12" t="str">
        <x:v>2026-07-19</x:v>
      </x:c>
      <x:c r="AQ126" s="12" t="str">
        <x:v>Média</x:v>
      </x:c>
      <x:c r="AR126" s="12" t="str">
        <x:v>Inventário mestre completo atualizado em 2026-07-01</x:v>
      </x:c>
      <x:c r="AS126" s="12" t="str">
        <x:v>Confirmar peso</x:v>
      </x:c>
      <x:c r="AT126" s="12" t="str">
        <x:v>R$10–15/un; custo médio usado R$12,50.</x:v>
      </x:c>
    </x:row>
    <x:row r="127">
      <x:c r="A127" s="12" t="str">
        <x:v>DG-AM-002</x:v>
      </x:c>
      <x:c r="B127" s="12" t="str"/>
      <x:c r="C127" s="12" t="str">
        <x:v>Classic Collection</x:v>
      </x:c>
      <x:c r="D127" s="12" t="str">
        <x:v>Ametistas</x:v>
      </x:c>
      <x:c r="E127" s="12" t="str">
        <x:v>Ametista</x:v>
      </x:c>
      <x:c r="F127" s="12" t="str">
        <x:v>Natural</x:v>
      </x:c>
      <x:c r="G127" s="12" t="str">
        <x:v>Lote</x:v>
      </x:c>
      <x:c r="H127" s="18" t="n">
        <x:v>5</x:v>
      </x:c>
      <x:c r="I127" s="12" t="str">
        <x:v>Oval</x:v>
      </x:c>
      <x:c r="J127" s="12" t="str">
        <x:v>6 x 5 cada</x:v>
      </x:c>
      <x:c r="K127" s="14" t="n">
        <x:v>3.5</x:v>
      </x:c>
      <x:c r="L127" s="12" t="str">
        <x:v>Não</x:v>
      </x:c>
      <x:c r="M127" s="12" t="str">
        <x:v>Estimativa por medidas</x:v>
      </x:c>
      <x:c r="N127" s="12" t="str">
        <x:v>Roxo médio / lavanda</x:v>
      </x:c>
      <x:c r="O127" s="12" t="str">
        <x:v>Transparente</x:v>
      </x:c>
      <x:c r="P127" s="12" t="str"/>
      <x:c r="Q127" s="12" t="str">
        <x:v>Não avaliado / não informado</x:v>
      </x:c>
      <x:c r="R127" s="12" t="str">
        <x:v>Não</x:v>
      </x:c>
      <x:c r="S127" s="12" t="str"/>
      <x:c r="T127" s="12" t="str"/>
      <x:c r="U127" s="20" t="n">
        <x:v>62.5</x:v>
      </x:c>
      <x:c r="V127" s="20" t="n">
        <x:v>225</x:v>
      </x:c>
      <x:c r="W127" s="20" t="n">
        <x:v>450</x:v>
      </x:c>
      <x:c r="X127" s="20" t="n">
        <x:v>225</x:v>
      </x:c>
      <x:c r="Y127" s="20" t="n">
        <x:v>450</x:v>
      </x:c>
      <x:c r="Z127" s="20" t="n">
        <x:v>2000</x:v>
      </x:c>
      <x:c r="AA127" s="20" t="n">
        <x:v>6000</x:v>
      </x:c>
      <x:c r="AB127" s="12" t="str">
        <x:v>Registrado no histórico</x:v>
      </x:c>
      <x:c r="AC127" s="16" t="n">
        <x:v>8</x:v>
      </x:c>
      <x:c r="AD127" s="12" t="str">
        <x:v>B+</x:v>
      </x:c>
      <x:c r="AE127" s="12" t="str">
        <x:v>Baixa</x:v>
      </x:c>
      <x:c r="AF127" s="12" t="str">
        <x:v>Brincos, anel, pingentes</x:v>
      </x:c>
      <x:c r="AG127" s="12" t="str">
        <x:v>Brincos, anel, pingentes</x:v>
      </x:c>
      <x:c r="AH127" s="12" t="str">
        <x:v>Coleção</x:v>
      </x:c>
      <x:c r="AI127" s="12" t="str"/>
      <x:c r="AJ127" s="12" t="str"/>
      <x:c r="AK127" s="12" t="str"/>
      <x:c r="AL127" s="12" t="str"/>
      <x:c r="AM127" s="12" t="str">
        <x:v>Não informado</x:v>
      </x:c>
      <x:c r="AN127" s="12" t="str"/>
      <x:c r="AO127" s="12" t="str">
        <x:v>2026-07-01</x:v>
      </x:c>
      <x:c r="AP127" s="12" t="str">
        <x:v>2026-07-19</x:v>
      </x:c>
      <x:c r="AQ127" s="12" t="str">
        <x:v>Média</x:v>
      </x:c>
      <x:c r="AR127" s="12" t="str">
        <x:v>Inventário mestre completo atualizado em 2026-07-01</x:v>
      </x:c>
      <x:c r="AS127" s="12" t="str">
        <x:v>Confirmar peso</x:v>
      </x:c>
      <x:c r="AT127" s="12" t="str"/>
    </x:row>
    <x:row r="128">
      <x:c r="A128" s="12" t="str">
        <x:v>DG-OF-001</x:v>
      </x:c>
      <x:c r="B128" s="12" t="str"/>
      <x:c r="C128" s="12" t="str">
        <x:v>Opal Collection</x:v>
      </x:c>
      <x:c r="D128" s="12" t="str">
        <x:v>Opalas</x:v>
      </x:c>
      <x:c r="E128" s="12" t="str">
        <x:v>Opala</x:v>
      </x:c>
      <x:c r="F128" s="12" t="str">
        <x:v>Opala de Fogo</x:v>
      </x:c>
      <x:c r="G128" s="12" t="str">
        <x:v>Gema individual</x:v>
      </x:c>
      <x:c r="H128" s="18" t="n">
        <x:v>1</x:v>
      </x:c>
      <x:c r="I128" s="12" t="str">
        <x:v>Gota</x:v>
      </x:c>
      <x:c r="J128" s="12" t="str">
        <x:v>10 x 5</x:v>
      </x:c>
      <x:c r="K128" s="14" t="n">
        <x:v>1.3</x:v>
      </x:c>
      <x:c r="L128" s="12" t="str">
        <x:v>Não</x:v>
      </x:c>
      <x:c r="M128" s="12" t="str">
        <x:v>Estimativa por medidas</x:v>
      </x:c>
      <x:c r="N128" s="12" t="str">
        <x:v>Laranja claro / Pêssego</x:v>
      </x:c>
      <x:c r="O128" s="12" t="str">
        <x:v>Translúcida</x:v>
      </x:c>
      <x:c r="P128" s="12" t="str"/>
      <x:c r="Q128" s="12" t="str">
        <x:v>Não avaliado / não informado</x:v>
      </x:c>
      <x:c r="R128" s="12" t="str">
        <x:v>Não</x:v>
      </x:c>
      <x:c r="S128" s="12" t="str"/>
      <x:c r="T128" s="12" t="str"/>
      <x:c r="U128" s="20"/>
      <x:c r="V128" s="20" t="n">
        <x:v>600</x:v>
      </x:c>
      <x:c r="W128" s="20" t="n">
        <x:v>900</x:v>
      </x:c>
      <x:c r="X128" s="20" t="n">
        <x:v>900</x:v>
      </x:c>
      <x:c r="Y128" s="20" t="n">
        <x:v>1600</x:v>
      </x:c>
      <x:c r="Z128" s="20" t="n">
        <x:v>2500</x:v>
      </x:c>
      <x:c r="AA128" s="20" t="n">
        <x:v>6000</x:v>
      </x:c>
      <x:c r="AB128" s="12" t="str">
        <x:v>Registrado no histórico</x:v>
      </x:c>
      <x:c r="AC128" s="16" t="n">
        <x:v>7.5</x:v>
      </x:c>
      <x:c r="AD128" s="12" t="str">
        <x:v>B+</x:v>
      </x:c>
      <x:c r="AE128" s="12" t="str">
        <x:v>Baixa</x:v>
      </x:c>
      <x:c r="AF128" s="12" t="str">
        <x:v>Pingente delicado em ouro amarelo</x:v>
      </x:c>
      <x:c r="AG128" s="12" t="str">
        <x:v>Pingente delicado em ouro amarelo</x:v>
      </x:c>
      <x:c r="AH128" s="12" t="str">
        <x:v>Coleção</x:v>
      </x:c>
      <x:c r="AI128" s="12" t="str"/>
      <x:c r="AJ128" s="12" t="str"/>
      <x:c r="AK128" s="12" t="str"/>
      <x:c r="AL128" s="12" t="str"/>
      <x:c r="AM128" s="12" t="str">
        <x:v>Não informado</x:v>
      </x:c>
      <x:c r="AN128" s="12" t="str"/>
      <x:c r="AO128" s="12" t="str">
        <x:v>2026-07-01</x:v>
      </x:c>
      <x:c r="AP128" s="12" t="str">
        <x:v>2026-07-19</x:v>
      </x:c>
      <x:c r="AQ128" s="12" t="str">
        <x:v>Média</x:v>
      </x:c>
      <x:c r="AR128" s="12" t="str">
        <x:v>Inventário mestre completo atualizado em 2026-07-01</x:v>
      </x:c>
      <x:c r="AS128" s="12" t="str">
        <x:v>Confirmar peso</x:v>
      </x:c>
      <x:c r="AT128" s="12" t="str">
        <x:v>Opala sensível; evitar anel de uso diário.</x:v>
      </x:c>
    </x:row>
    <x:row r="129">
      <x:c r="A129" s="12" t="str">
        <x:v>DG-PD-001</x:v>
      </x:c>
      <x:c r="B129" s="12" t="str"/>
      <x:c r="C129" s="12" t="str">
        <x:v>Peridot Collection</x:v>
      </x:c>
      <x:c r="D129" s="12" t="str">
        <x:v>Peridotos</x:v>
      </x:c>
      <x:c r="E129" s="12" t="str">
        <x:v>Olivina</x:v>
      </x:c>
      <x:c r="F129" s="12" t="str">
        <x:v>Peridoto</x:v>
      </x:c>
      <x:c r="G129" s="12" t="str">
        <x:v>Lote</x:v>
      </x:c>
      <x:c r="H129" s="18" t="n">
        <x:v>6</x:v>
      </x:c>
      <x:c r="I129" s="12" t="str">
        <x:v>2 redondas + 4 ovais</x:v>
      </x:c>
      <x:c r="J129" s="12" t="str">
        <x:v>2x 4x4; 3x 5x4; 1x 5x3.5</x:v>
      </x:c>
      <x:c r="K129" s="14" t="n">
        <x:v>2.16</x:v>
      </x:c>
      <x:c r="L129" s="12" t="str">
        <x:v>Não</x:v>
      </x:c>
      <x:c r="M129" s="12" t="str">
        <x:v>Estimativa por medidas</x:v>
      </x:c>
      <x:c r="N129" s="12" t="str">
        <x:v>Verde-limão intenso</x:v>
      </x:c>
      <x:c r="O129" s="12" t="str">
        <x:v>Transparente</x:v>
      </x:c>
      <x:c r="P129" s="12" t="str"/>
      <x:c r="Q129" s="12" t="str">
        <x:v>Não avaliado / não informado</x:v>
      </x:c>
      <x:c r="R129" s="12" t="str">
        <x:v>Não</x:v>
      </x:c>
      <x:c r="S129" s="12" t="str"/>
      <x:c r="T129" s="12" t="str"/>
      <x:c r="U129" s="20" t="n">
        <x:v>100</x:v>
      </x:c>
      <x:c r="V129" s="20" t="n">
        <x:v>900</x:v>
      </x:c>
      <x:c r="W129" s="20" t="n">
        <x:v>1500</x:v>
      </x:c>
      <x:c r="X129" s="20" t="n">
        <x:v>900</x:v>
      </x:c>
      <x:c r="Y129" s="20" t="n">
        <x:v>1500</x:v>
      </x:c>
      <x:c r="Z129" s="20" t="n">
        <x:v>3500</x:v>
      </x:c>
      <x:c r="AA129" s="20" t="n">
        <x:v>7000</x:v>
      </x:c>
      <x:c r="AB129" s="12" t="str">
        <x:v>Registrado no histórico</x:v>
      </x:c>
      <x:c r="AC129" s="16" t="n">
        <x:v>8.2</x:v>
      </x:c>
      <x:c r="AD129" s="12" t="str">
        <x:v>B+</x:v>
      </x:c>
      <x:c r="AE129" s="12" t="str">
        <x:v>Baixa</x:v>
      </x:c>
      <x:c r="AF129" s="12" t="str">
        <x:v>Conjunto Primavera: brincos, anel, pingente</x:v>
      </x:c>
      <x:c r="AG129" s="12" t="str">
        <x:v>Conjunto Primavera: brincos, anel, pingente</x:v>
      </x:c>
      <x:c r="AH129" s="12" t="str">
        <x:v>Coleção</x:v>
      </x:c>
      <x:c r="AI129" s="12" t="str"/>
      <x:c r="AJ129" s="12" t="str"/>
      <x:c r="AK129" s="12" t="str"/>
      <x:c r="AL129" s="12" t="str"/>
      <x:c r="AM129" s="12" t="str">
        <x:v>Não informado</x:v>
      </x:c>
      <x:c r="AN129" s="12" t="str"/>
      <x:c r="AO129" s="12" t="str">
        <x:v>2026-07-01</x:v>
      </x:c>
      <x:c r="AP129" s="12" t="str">
        <x:v>2026-07-19</x:v>
      </x:c>
      <x:c r="AQ129" s="12" t="str">
        <x:v>Média</x:v>
      </x:c>
      <x:c r="AR129" s="12" t="str">
        <x:v>Inventário mestre completo atualizado em 2026-07-01</x:v>
      </x:c>
      <x:c r="AS129" s="12" t="str">
        <x:v>Confirmar peso</x:v>
      </x:c>
      <x:c r="AT129" s="12" t="str">
        <x:v>Valor pago máximo R$100 pelo lote.</x:v>
      </x:c>
    </x:row>
    <x:row r="130">
      <x:c r="A130" s="12" t="str">
        <x:v>DG-UK-001</x:v>
      </x:c>
      <x:c r="B130" s="12" t="str"/>
      <x:c r="C130" s="12" t="str">
        <x:v>Em Identificação</x:v>
      </x:c>
      <x:c r="D130" s="12" t="str">
        <x:v>Pedras pendentes</x:v>
      </x:c>
      <x:c r="E130" s="12" t="str">
        <x:v>Provável Quartzo/Topázio/Goshenita</x:v>
      </x:c>
      <x:c r="F130" s="12" t="str">
        <x:v>Incolor</x:v>
      </x:c>
      <x:c r="G130" s="12" t="str">
        <x:v>Gema individual</x:v>
      </x:c>
      <x:c r="H130" s="18" t="n">
        <x:v>1</x:v>
      </x:c>
      <x:c r="I130" s="12" t="str">
        <x:v>Oval</x:v>
      </x:c>
      <x:c r="J130" s="12" t="str">
        <x:v>10 x 8</x:v>
      </x:c>
      <x:c r="K130" s="14" t="n">
        <x:v>0</x:v>
      </x:c>
      <x:c r="L130" s="12" t="str">
        <x:v>Pendente</x:v>
      </x:c>
      <x:c r="M130" s="12" t="str">
        <x:v>Pendente</x:v>
      </x:c>
      <x:c r="N130" s="12" t="str">
        <x:v>Incolor / transparente</x:v>
      </x:c>
      <x:c r="O130" s="12" t="str">
        <x:v>Transparente</x:v>
      </x:c>
      <x:c r="P130" s="12" t="str">
        <x:v>Bahia</x:v>
      </x:c>
      <x:c r="Q130" s="12" t="str">
        <x:v>Não avaliado / não informado</x:v>
      </x:c>
      <x:c r="R130" s="12" t="str">
        <x:v>Não</x:v>
      </x:c>
      <x:c r="S130" s="12" t="str"/>
      <x:c r="T130" s="12" t="str"/>
      <x:c r="U130" s="20"/>
      <x:c r="V130" s="20" t="n">
        <x:v>50</x:v>
      </x:c>
      <x:c r="W130" s="20" t="n">
        <x:v>500</x:v>
      </x:c>
      <x:c r="X130" s="20" t="n">
        <x:v>50</x:v>
      </x:c>
      <x:c r="Y130" s="20" t="n">
        <x:v>500</x:v>
      </x:c>
      <x:c r="Z130" s="20" t="n">
        <x:v>500</x:v>
      </x:c>
      <x:c r="AA130" s="20" t="n">
        <x:v>1500</x:v>
      </x:c>
      <x:c r="AB130" s="12" t="str">
        <x:v>Registrado no histórico</x:v>
      </x:c>
      <x:c r="AC130" s="16" t="n">
        <x:v>5.5</x:v>
      </x:c>
      <x:c r="AD130" s="12" t="str">
        <x:v>Pendente</x:v>
      </x:c>
      <x:c r="AE130" s="12" t="str">
        <x:v>Baixa</x:v>
      </x:c>
      <x:c r="AF130" s="12" t="str">
        <x:v>Aguardar identificação</x:v>
      </x:c>
      <x:c r="AG130" s="12" t="str">
        <x:v>Aguardar identificação</x:v>
      </x:c>
      <x:c r="AH130" s="12" t="str">
        <x:v>Coleção</x:v>
      </x:c>
      <x:c r="AI130" s="12" t="str"/>
      <x:c r="AJ130" s="12" t="str"/>
      <x:c r="AK130" s="12" t="str"/>
      <x:c r="AL130" s="12" t="str"/>
      <x:c r="AM130" s="12" t="str">
        <x:v>Não informado</x:v>
      </x:c>
      <x:c r="AN130" s="12" t="str"/>
      <x:c r="AO130" s="12" t="str">
        <x:v>2026-07-01</x:v>
      </x:c>
      <x:c r="AP130" s="12" t="str">
        <x:v>2026-07-19</x:v>
      </x:c>
      <x:c r="AQ130" s="12" t="str">
        <x:v>Pendente</x:v>
      </x:c>
      <x:c r="AR130" s="12" t="str">
        <x:v>Inventário mestre completo atualizado em 2026-07-01</x:v>
      </x:c>
      <x:c r="AS130" s="12" t="str">
        <x:v>Confirmar peso; Confirmar identificação em laboratório</x:v>
      </x:c>
      <x:c r="AT130" s="12" t="str"/>
    </x:row>
  </x:sheetData>
  <x:conditionalFormatting sqref="K2:K130">
    <x:cfRule type="dataBar" priority="1">
      <x:dataBar>
        <x:cfvo type="min"/>
        <x:cfvo type="max"/>
        <x:color rgb="FF4C8A72"/>
      </x:dataBar>
      <x:extLst>
        <x:ext xmlns:x14="http://schemas.microsoft.com/office/spreadsheetml/2009/9/main" uri="{B025F937-C7B1-47D3-B67F-A62EFF666E3E}">
          <x14:id>{14D6BD69-849C-46A8-392C-A74ADE5ADF98}</x14:id>
        </x:ext>
      </x:extLst>
    </x:cfRule>
  </x:conditionalFormatting>
  <x:conditionalFormatting sqref="AC2:AC130">
    <x:cfRule type="colorScale" priority="2">
      <x:colorScale>
        <x:cfvo type="min"/>
        <x:cfvo type="percentile" val="50"/>
        <x:cfvo type="max"/>
        <x:color rgb="FFF7CACA"/>
        <x:color rgb="FFFFF0B3"/>
        <x:color rgb="FFCBE8D7"/>
      </x:colorScale>
    </x:cfRule>
  </x:conditionalFormatting>
  <x:conditionalFormatting sqref="AB2:AB130">
    <x:cfRule type="expression" dxfId="16" priority="3">
      <x:formula>AB2="Pendente de precificação individual"</x:formula>
    </x:cfRule>
  </x:conditionalFormatting>
  <x:conditionalFormatting sqref="AS2:AS130">
    <x:cfRule type="expression" dxfId="17" priority="4">
      <x:formula>LEN(AS2)&gt;0</x:formula>
    </x:cfRule>
  </x:conditionalFormatting>
  <x:dataValidations count="2">
    <x:dataValidation type="list" sqref="AH2:AH130">
      <x:formula1>"Coleção,Estoque,Estoque para produção,Em identificação,Em certificação,Em joia,Vendido"</x:formula1>
    </x:dataValidation>
    <x:dataValidation type="list" sqref="AE2:AE130">
      <x:formula1>"Alta,Média/Alta,Média,Baixa/Média,Baixa,A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9ec732244348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4D6BD69-849C-46A8-392C-A74ADE5ADF98}">
            <x14:dataBar gradient="1">
              <x14:cfvo type="min"/>
              <x14:cfvo type="max"/>
              <x14:fillColor rgb="FF4C8A72"/>
            </x14:dataBar>
          </x14:cfRule>
          <xm:sqref>K2:K130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4" hidden="0" customWidth="1"/>
    <x:col min="5" max="5" width="48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5" t="str">
        <x:v>DG PRIVATE COLLECTION — INVENTÁRIO MESTRE V3</x:v>
      </x:c>
      <x:c r="B1" s="25"/>
      <x:c r="C1" s="25"/>
      <x:c r="D1" s="25"/>
      <x:c r="E1" s="25"/>
      <x:c r="F1" s="25"/>
      <x:c r="G1" s="25"/>
      <x:c r="H1" s="25"/>
    </x:row>
    <x:row r="2">
      <x:c r="A2" s="32" t="str">
        <x:v>145 registros consolidados | códigos únicos | pesos oficiais dos coríndons e granadas atualizados | revisão 19/07/2026</x:v>
      </x:c>
      <x:c r="B2" s="32"/>
      <x:c r="C2" s="32"/>
      <x:c r="D2" s="32"/>
      <x:c r="E2" s="32"/>
      <x:c r="F2" s="32"/>
      <x:c r="G2" s="32"/>
      <x:c r="H2" s="32"/>
    </x:row>
    <x:row r="4">
      <x:c r="A4" s="38" t="str">
        <x:v>Indicador</x:v>
      </x:c>
      <x:c r="B4" s="38" t="str">
        <x:v>Valor</x:v>
      </x:c>
      <x:c r="D4" s="38" t="str">
        <x:v>Valores documentados</x:v>
      </x:c>
      <x:c r="E4" s="38" t="str">
        <x:v>Total</x:v>
      </x:c>
    </x:row>
    <x:row r="5">
      <x:c r="A5" t="str">
        <x:v>Total de registros</x:v>
      </x:c>
      <x:c r="B5" t="n">
        <x:f>COUNTA('Inventario Mestre'!A2:A1000)</x:f>
        <x:v>145</x:v>
      </x:c>
      <x:c r="D5" t="str">
        <x:v>Atacado mínimo</x:v>
      </x:c>
      <x:c r="E5" s="44" t="n">
        <x:f>SUM('Inventario Mestre'!V2:V1000)</x:f>
        <x:v>66450</x:v>
      </x:c>
    </x:row>
    <x:row r="6">
      <x:c r="A6" t="str">
        <x:v>Peso total catalogado (ct)</x:v>
      </x:c>
      <x:c r="B6" s="42" t="n">
        <x:f>SUM('Inventario Mestre'!K2:K1000)</x:f>
        <x:v>385.9199999999999</x:v>
      </x:c>
      <x:c r="D6" t="str">
        <x:v>Atacado máximo</x:v>
      </x:c>
      <x:c r="E6" s="44" t="n">
        <x:f>SUM('Inventario Mestre'!W2:W1000)</x:f>
        <x:v>131780</x:v>
      </x:c>
    </x:row>
    <x:row r="7">
      <x:c r="A7" t="str">
        <x:v>Registros com peso confirmado</x:v>
      </x:c>
      <x:c r="B7" t="n">
        <x:f>COUNTIF('Inventario Mestre'!L2:L1000,"Sim")+COUNTIF('Inventario Mestre'!L2:L1000,"Sim (calculado)")</x:f>
        <x:v>130</x:v>
      </x:c>
      <x:c r="D7" t="str">
        <x:v>Varejo mínimo</x:v>
      </x:c>
      <x:c r="E7" s="44" t="n">
        <x:f>SUM('Inventario Mestre'!X2:X1000)</x:f>
        <x:v>88790</x:v>
      </x:c>
    </x:row>
    <x:row r="8">
      <x:c r="A8" t="str">
        <x:v>Registros classificados como lote</x:v>
      </x:c>
      <x:c r="B8" t="n">
        <x:f>COUNTIF('Inventario Mestre'!G2:G1000,"Lote")</x:f>
        <x:v>12</x:v>
      </x:c>
      <x:c r="D8" t="str">
        <x:v>Varejo máximo</x:v>
      </x:c>
      <x:c r="E8" s="44" t="n">
        <x:f>SUM('Inventario Mestre'!Y2:Y1000)</x:f>
        <x:v>171770</x:v>
      </x:c>
    </x:row>
    <x:row r="9">
      <x:c r="A9" t="str">
        <x:v>Gemas certificadas</x:v>
      </x:c>
      <x:c r="B9" t="n">
        <x:f>COUNTIF('Inventario Mestre'!R2:R1000,"Sim")</x:f>
        <x:v>2</x:v>
      </x:c>
      <x:c r="D9" t="str">
        <x:v>Joias mínimo</x:v>
      </x:c>
      <x:c r="E9" s="44" t="n">
        <x:f>SUM('Inventario Mestre'!Z2:Z1000)</x:f>
        <x:v>190550</x:v>
      </x:c>
    </x:row>
    <x:row r="10">
      <x:c r="A10" t="str">
        <x:v>Registros com pendências</x:v>
      </x:c>
      <x:c r="B10" t="n">
        <x:f>COUNTA('Inventario Mestre'!AS2:AS1000)</x:f>
        <x:v>129</x:v>
      </x:c>
      <x:c r="D10" t="str">
        <x:v>Joias máximo</x:v>
      </x:c>
      <x:c r="E10" s="44" t="n">
        <x:f>SUM('Inventario Mestre'!AA2:AA1000)</x:f>
        <x:v>381700</x:v>
      </x:c>
    </x:row>
    <x:row r="11">
      <x:c r="D11" t="str">
        <x:v>Aviso</x:v>
      </x:c>
      <x:c r="E11" s="12" t="str">
        <x:v>Totais apenas dos registros que possuem estimativas individuais documentadas.</x:v>
      </x:c>
    </x:row>
    <x:row r="14">
      <x:c r="A14" s="38" t="str">
        <x:v>Grupo</x:v>
      </x:c>
      <x:c r="B14" s="38" t="str">
        <x:v>Registros</x:v>
      </x:c>
      <x:c r="C14" s="38" t="str">
        <x:v>Peso total (ct)</x:v>
      </x:c>
    </x:row>
    <x:row r="15">
      <x:c r="A15" t="str">
        <x:v>Esmeraldas</x:v>
      </x:c>
      <x:c r="B15" t="n">
        <x:f>COUNTIF('Inventario Mestre'!D2:D1000,A15)</x:f>
        <x:v>82</x:v>
      </x:c>
      <x:c r="C15" s="42" t="n">
        <x:f>SUMIF('Inventario Mestre'!D2:D1000,A15,'Inventario Mestre'!K2:K1000)</x:f>
        <x:v>246.70499999999998</x:v>
      </x:c>
    </x:row>
    <x:row r="16">
      <x:c r="A16" t="str">
        <x:v>Turmalinas</x:v>
      </x:c>
      <x:c r="B16" t="n">
        <x:f>COUNTIF('Inventario Mestre'!D2:D1000,A16)</x:f>
        <x:v>34</x:v>
      </x:c>
      <x:c r="C16" s="42" t="n">
        <x:f>SUMIF('Inventario Mestre'!D2:D1000,A16,'Inventario Mestre'!K2:K1000)</x:f>
        <x:v>10.930000000000001</x:v>
      </x:c>
    </x:row>
    <x:row r="17">
      <x:c r="A17" t="str">
        <x:v>Coríndons</x:v>
      </x:c>
      <x:c r="B17" t="n">
        <x:f>COUNTIF('Inventario Mestre'!D2:D1000,A17)</x:f>
        <x:v>12</x:v>
      </x:c>
      <x:c r="C17" s="42" t="n">
        <x:f>SUMIF('Inventario Mestre'!D2:D1000,A17,'Inventario Mestre'!K2:K1000)</x:f>
        <x:v>92.60500000000002</x:v>
      </x:c>
    </x:row>
    <x:row r="18">
      <x:c r="A18" t="str">
        <x:v>Apatitas</x:v>
      </x:c>
      <x:c r="B18" t="n">
        <x:f>COUNTIF('Inventario Mestre'!D2:D1000,A18)</x:f>
        <x:v>1</x:v>
      </x:c>
      <x:c r="C18" s="42" t="n">
        <x:f>SUMIF('Inventario Mestre'!D2:D1000,A18,'Inventario Mestre'!K2:K1000)</x:f>
        <x:v>2.6</x:v>
      </x:c>
    </x:row>
    <x:row r="19">
      <x:c r="A19" t="str">
        <x:v>Rodolitas</x:v>
      </x:c>
      <x:c r="B19" t="n">
        <x:f>COUNTIF('Inventario Mestre'!D2:D1000,A19)</x:f>
        <x:v>7</x:v>
      </x:c>
      <x:c r="C19" s="42" t="n">
        <x:f>SUMIF('Inventario Mestre'!D2:D1000,A19,'Inventario Mestre'!K2:K1000)</x:f>
        <x:v>7.3500000000000005</x:v>
      </x:c>
    </x:row>
    <x:row r="20">
      <x:c r="A20" t="str">
        <x:v>Granadas</x:v>
      </x:c>
      <x:c r="B20" t="n">
        <x:f>COUNTIF('Inventario Mestre'!D2:D1000,A20)</x:f>
        <x:v>1</x:v>
      </x:c>
      <x:c r="C20" s="42" t="n">
        <x:f>SUMIF('Inventario Mestre'!D2:D1000,A20,'Inventario Mestre'!K2:K1000)</x:f>
        <x:v>7.49</x:v>
      </x:c>
    </x:row>
    <x:row r="21">
      <x:c r="A21" t="str">
        <x:v>Topázios</x:v>
      </x:c>
      <x:c r="B21" t="n">
        <x:f>COUNTIF('Inventario Mestre'!D2:D1000,A21)</x:f>
        <x:v>3</x:v>
      </x:c>
      <x:c r="C21" s="42" t="n">
        <x:f>SUMIF('Inventario Mestre'!D2:D1000,A21,'Inventario Mestre'!K2:K1000)</x:f>
        <x:v>6.6</x:v>
      </x:c>
    </x:row>
    <x:row r="22">
      <x:c r="A22" t="str">
        <x:v>Ametistas</x:v>
      </x:c>
      <x:c r="B22" t="n">
        <x:f>COUNTIF('Inventario Mestre'!D2:D1000,A22)</x:f>
        <x:v>2</x:v>
      </x:c>
      <x:c r="C22" s="42" t="n">
        <x:f>SUMIF('Inventario Mestre'!D2:D1000,A22,'Inventario Mestre'!K2:K1000)</x:f>
        <x:v>8.18</x:v>
      </x:c>
    </x:row>
    <x:row r="23">
      <x:c r="A23" t="str">
        <x:v>Opalas</x:v>
      </x:c>
      <x:c r="B23" t="n">
        <x:f>COUNTIF('Inventario Mestre'!D2:D1000,A23)</x:f>
        <x:v>1</x:v>
      </x:c>
      <x:c r="C23" s="42" t="n">
        <x:f>SUMIF('Inventario Mestre'!D2:D1000,A23,'Inventario Mestre'!K2:K1000)</x:f>
        <x:v>1.3</x:v>
      </x:c>
    </x:row>
    <x:row r="24">
      <x:c r="A24" t="str">
        <x:v>Peridotos</x:v>
      </x:c>
      <x:c r="B24" t="n">
        <x:f>COUNTIF('Inventario Mestre'!D2:D1000,A24)</x:f>
        <x:v>1</x:v>
      </x:c>
      <x:c r="C24" s="42" t="n">
        <x:f>SUMIF('Inventario Mestre'!D2:D1000,A24,'Inventario Mestre'!K2:K1000)</x:f>
        <x:v>2.16</x:v>
      </x:c>
    </x:row>
    <x:row r="25">
      <x:c r="A25" t="str">
        <x:v>Pedras pendentes</x:v>
      </x:c>
      <x:c r="B25" t="n">
        <x:f>COUNTIF('Inventario Mestre'!D2:D1000,A25)</x:f>
        <x:v>1</x:v>
      </x:c>
      <x:c r="C25" s="42" t="n">
        <x:f>SUMIF('Inventario Mestre'!D2:D1000,A25,'Inventario Mestre'!K2:K1000)</x:f>
        <x:v>0</x:v>
      </x:c>
    </x:row>
    <x:row r="28">
      <x:c r="A28" s="46" t="str">
        <x:v>Controle de integridade</x:v>
      </x:c>
      <x:c r="B28" s="46" t="str">
        <x:v>Resultado</x:v>
      </x:c>
      <x:c r="C28" s="46" t="str">
        <x:v>Esperado</x:v>
      </x:c>
      <x:c r="D28" s="46" t="str">
        <x:v>Status</x:v>
      </x:c>
      <x:c r="E28" s="46" t="str">
        <x:v>Observação</x:v>
      </x:c>
    </x:row>
    <x:row r="29">
      <x:c r="A29" s="12" t="str">
        <x:v>Quantidade de registros</x:v>
      </x:c>
      <x:c r="B29" s="14" t="n">
        <x:v>145</x:v>
      </x:c>
      <x:c r="C29" s="14" t="n">
        <x:v>145</x:v>
      </x:c>
      <x:c r="D29" s="12" t="str">
        <x:v>OK</x:v>
      </x:c>
      <x:c r="E29" s="12" t="str">
        <x:v>123 registros-base + 22 turmalinas rosas</x:v>
      </x:c>
    </x:row>
    <x:row r="30">
      <x:c r="A30" s="12" t="str">
        <x:v>Peso total</x:v>
      </x:c>
      <x:c r="B30" s="14" t="n">
        <x:v>385.92</x:v>
      </x:c>
      <x:c r="C30" s="14" t="n">
        <x:v>385.92</x:v>
      </x:c>
      <x:c r="D30" s="12" t="str">
        <x:v>OK</x:v>
      </x:c>
      <x:c r="E30" s="12" t="str">
        <x:v>Inclui granadas corrigidas para 7,490 ct</x:v>
      </x:c>
    </x:row>
    <x:row r="31">
      <x:c r="A31" s="12" t="str">
        <x:v>Códigos duplicados</x:v>
      </x:c>
      <x:c r="B31" s="14" t="n">
        <x:v>0</x:v>
      </x:c>
      <x:c r="C31" s="14" t="n">
        <x:v>0</x:v>
      </x:c>
      <x:c r="D31" s="12" t="str">
        <x:v>OK</x:v>
      </x:c>
      <x:c r="E31" s="12" t="str">
        <x:v>Turmalina coração renumerada para DG-TR-023; código legado preservado</x:v>
      </x:c>
    </x:row>
    <x:row r="32">
      <x:c r="A32" s="12" t="str">
        <x:v>Turmalinas rosas</x:v>
      </x:c>
      <x:c r="B32" s="14" t="n">
        <x:v>23</x:v>
      </x:c>
      <x:c r="C32" s="14" t="n">
        <x:v>23</x:v>
      </x:c>
      <x:c r="D32" s="12" t="str">
        <x:v>OK</x:v>
      </x:c>
      <x:c r="E32" s="12" t="str">
        <x:v>22 pequenas + 1 coração de 3,720 ct</x:v>
      </x:c>
    </x:row>
    <x:row r="33">
      <x:c r="A33" s="12" t="str">
        <x:v>Esmeraldas</x:v>
      </x:c>
      <x:c r="B33" s="14" t="n">
        <x:v>82</x:v>
      </x:c>
      <x:c r="C33" s="14" t="n">
        <x:v>82</x:v>
      </x:c>
      <x:c r="D33" s="12" t="str">
        <x:v>OK</x:v>
      </x:c>
      <x:c r="E33" s="12" t="str">
        <x:v>DG-EM-001 a DG-EM-082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37e652e8db04ee6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6" t="str">
        <x:v>Campo</x:v>
      </x:c>
      <x:c r="B1" s="6" t="str">
        <x:v>Descrição</x:v>
      </x:c>
    </x:row>
    <x:row r="2">
      <x:c r="A2" t="str">
        <x:v>Arquivo-base</x:v>
      </x:c>
      <x:c r="B2" t="str">
        <x:v>DG_Private_Collection_Inventario_Mestre_COMPLETO_atualizado_RB.csv</x:v>
      </x:c>
    </x:row>
    <x:row r="3">
      <x:c r="A3" t="str">
        <x:v>Registros-base</x:v>
      </x:c>
      <x:c r="B3" t="n">
        <x:v>123</x:v>
      </x:c>
    </x:row>
    <x:row r="4">
      <x:c r="A4" t="str">
        <x:v>Novos registros adicionados</x:v>
      </x:c>
      <x:c r="B4" t="n">
        <x:v>22</x:v>
      </x:c>
    </x:row>
    <x:row r="5">
      <x:c r="A5" t="str">
        <x:v>Total final</x:v>
      </x:c>
      <x:c r="B5" t="n">
        <x:v>145</x:v>
      </x:c>
    </x:row>
    <x:row r="6">
      <x:c r="A6" t="str">
        <x:v>Peso total final</x:v>
      </x:c>
      <x:c r="B6" s="42" t="n">
        <x:v>385.92</x:v>
      </x:c>
    </x:row>
    <x:row r="7">
      <x:c r="A7" t="str">
        <x:v>Correção das granadas</x:v>
      </x:c>
      <x:c r="B7" t="str">
        <x:v>DG-GR-001 atualizado para 7,490 ct: 14 ovais × 0,485 ct + 1 retangular × 0,700 ct.</x:v>
      </x:c>
    </x:row>
    <x:row r="8">
      <x:c r="A8" t="str">
        <x:v>Correção de código</x:v>
      </x:c>
      <x:c r="B8" t="str">
        <x:v>Turmalina rosa coração de 3,720 ct: DG-TR-001 legado → DG-TR-023 atual.</x:v>
      </x:c>
    </x:row>
    <x:row r="9">
      <x:c r="A9" t="str">
        <x:v>Pedra rejeitada</x:v>
      </x:c>
      <x:c r="B9" t="str">
        <x:v>Turmalina retangular plana, muito incluída e de baixo valor não recebeu código individual; destinada a lote de aproveitamento.</x:v>
      </x:c>
    </x:row>
    <x:row r="10">
      <x:c r="A10" t="str">
        <x:v>Critério de valores</x:v>
      </x:c>
      <x:c r="B10" t="str">
        <x:v>Somente faixas expressamente documentadas no histórico foram preenchidas. Campos não documentados permanecem pendentes.</x:v>
      </x:c>
    </x:row>
    <x:row r="11">
      <x:c r="A11" t="str">
        <x:v>Aviso gemológico</x:v>
      </x:c>
      <x:c r="B11" t="str">
        <x:v>Identificação, origem e tratamentos visuais são provisórios até análise laboratorial.</x:v>
      </x:c>
    </x:row>
    <x:row r="12">
      <x:c r="A12" t="str">
        <x:v>Data da revisão</x:v>
      </x:c>
      <x:c r="B12" t="str">
        <x:v>2026-07-19</x:v>
      </x:c>
    </x:row>
  </x:sheetData>
  <x:pageMargins left="0.7" right="0.7" top="0.75" bottom="0.75" header="0.3" footer="0.3"/>
</x:worksheet>
</file>